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Metadata" state="visible" r:id="rId5"/>
    <sheet sheetId="3" name="Patient" state="visible" r:id="rId6"/>
    <sheet sheetId="4" name="History questions" state="visible" r:id="rId7"/>
    <sheet sheetId="5" name="Examination" state="visible" r:id="rId8"/>
    <sheet sheetId="6" name="Vitals" state="visible" r:id="rId9"/>
    <sheet sheetId="7" name="Vital events" state="visible" r:id="rId10"/>
    <sheet sheetId="8" name="Investigations" state="visible" r:id="rId11"/>
    <sheet sheetId="9" name="Result values" state="visible" r:id="rId12"/>
    <sheet sheetId="10" name="Diagnosis" state="visible" r:id="rId13"/>
    <sheet sheetId="11" name="Management" state="visible" r:id="rId14"/>
    <sheet sheetId="12" name="Required order" state="visible" r:id="rId15"/>
    <sheet sheetId="13" name="Questions" state="visible" r:id="rId16"/>
    <sheet sheetId="14" name="Question options" state="visible" r:id="rId17"/>
    <sheet sheetId="15" name="Rubric" state="visible" r:id="rId18"/>
    <sheet sheetId="16" name="Lists" state="visible" r:id="rId1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Short, lowercase, no spaces, e.g. chest-pain-stemi</t>
        </r>
      </text>
    </comment>
  </commentList>
</comments>
</file>

<file path=xl/sharedStrings.xml><?xml version="1.0" encoding="utf-8"?>
<sst xmlns="http://schemas.openxmlformats.org/spreadsheetml/2006/main" count="745" uniqueCount="453">
  <si>
    <t>How to fill in this case template</t>
  </si>
  <si>
    <t/>
  </si>
  <si>
    <t>1. Fill each tab from left to right. Columns marked * are required.</t>
  </si>
  <si>
    <t>2. Use the dropdowns. Exam points, tests and drugs must come from the shared lists (see the 'Lists' tab) so terms stay the same across cases; ask the dev team to add a missing one.</t>
  </si>
  <si>
    <t>3. Ids marked optional are created for you. Where an id is required (vital events, questions), use short lowercase words without spaces, e.g. o2_response.</t>
  </si>
  <si>
    <t>4. Times are in case minutes from the start of the case.</t>
  </si>
  <si>
    <t>5. Feedback columns are shown to the student in the debrief after the case.</t>
  </si>
  <si>
    <t>6. Send the finished file to the dev team. It is checked automatically: you get a list of any problems with the tab, row and column.</t>
  </si>
  <si>
    <t>7. A second academic reviews the case, then you play it in preview mode and sign it off.</t>
  </si>
  <si>
    <t>About the case. Add one row per learning objective and per author.</t>
  </si>
  <si>
    <t>Field</t>
  </si>
  <si>
    <t>Value</t>
  </si>
  <si>
    <t>Case id *</t>
  </si>
  <si>
    <t>chest-pain-stemi</t>
  </si>
  <si>
    <t>Title *</t>
  </si>
  <si>
    <t>Chest pain in a 45-year-old man</t>
  </si>
  <si>
    <t>Course *</t>
  </si>
  <si>
    <t>MED-401 Clinical Reasoning</t>
  </si>
  <si>
    <t>Specialty *</t>
  </si>
  <si>
    <t>Emergency medicine</t>
  </si>
  <si>
    <t>Difficulty *</t>
  </si>
  <si>
    <t>medium</t>
  </si>
  <si>
    <t>Time limit (minutes) *</t>
  </si>
  <si>
    <t>Learning objective *</t>
  </si>
  <si>
    <t>Take a focused chest pain history including cardiac risk factors and drug history</t>
  </si>
  <si>
    <t>Recognise an inferior STEMI on ECG</t>
  </si>
  <si>
    <t>Start ACS management in the right order and avoid a dangerous drug interaction</t>
  </si>
  <si>
    <t>Author *</t>
  </si>
  <si>
    <t>Reference case (dev team) - replace with academic author</t>
  </si>
  <si>
    <t>Reviewed by (second academic)</t>
  </si>
  <si>
    <t>Who the patient is and what the student hears at handover.</t>
  </si>
  <si>
    <t>3D model *</t>
  </si>
  <si>
    <t>adult_male</t>
  </si>
  <si>
    <t>Name *</t>
  </si>
  <si>
    <t>Ali Hassan</t>
  </si>
  <si>
    <t>Age (years) *</t>
  </si>
  <si>
    <t>Sex *</t>
  </si>
  <si>
    <t>male</t>
  </si>
  <si>
    <t>Chief complaint *</t>
  </si>
  <si>
    <t>Central chest pain for 2 hours</t>
  </si>
  <si>
    <t>Handover (read at the start) *</t>
  </si>
  <si>
    <t>45-year-old man, central chest pain for 2 hours, sweaty. Brought in by his brother.</t>
  </si>
  <si>
    <t>Appearance cues (comma separated: breathing, blinking, pain, coughing, sweating, pale)</t>
  </si>
  <si>
    <t>breathing, blinking, pain, sweating</t>
  </si>
  <si>
    <t>One row per question the student can ask, with the patient's answer.</t>
  </si>
  <si>
    <t>Id (optional)</t>
  </si>
  <si>
    <t>Topic *</t>
  </si>
  <si>
    <t>Question *</t>
  </si>
  <si>
    <t>Patient's answer *</t>
  </si>
  <si>
    <t>Relevance *</t>
  </si>
  <si>
    <t>Points</t>
  </si>
  <si>
    <t>Feedback after the case</t>
  </si>
  <si>
    <t>pc_onset</t>
  </si>
  <si>
    <t>presenting_complaint</t>
  </si>
  <si>
    <t>When did the pain start?</t>
  </si>
  <si>
    <t>About two hours ago, while I was sitting watching TV.</t>
  </si>
  <si>
    <t>essential</t>
  </si>
  <si>
    <t>pc_character</t>
  </si>
  <si>
    <t>What does the pain feel like?</t>
  </si>
  <si>
    <t>Heavy, like someone sitting on my chest.</t>
  </si>
  <si>
    <t>pc_radiation</t>
  </si>
  <si>
    <t>Does the pain go anywhere else?</t>
  </si>
  <si>
    <t>Yes, down my left arm and into my jaw.</t>
  </si>
  <si>
    <t>Radiation to the arm or jaw raises the likelihood of cardiac pain.</t>
  </si>
  <si>
    <t>pc_associated</t>
  </si>
  <si>
    <t>Any sweating, nausea or breathlessness?</t>
  </si>
  <si>
    <t>I've been sweating a lot and feel sick.</t>
  </si>
  <si>
    <t>pc_pleuritic</t>
  </si>
  <si>
    <t>Is it worse when you breathe in?</t>
  </si>
  <si>
    <t>No, breathing doesn't change it.</t>
  </si>
  <si>
    <t>useful</t>
  </si>
  <si>
    <t>ph_cardiac</t>
  </si>
  <si>
    <t>past_history</t>
  </si>
  <si>
    <t>Any heart problems before?</t>
  </si>
  <si>
    <t>No, never.</t>
  </si>
  <si>
    <t>ph_risk</t>
  </si>
  <si>
    <t>Do you have diabetes, high blood pressure or high cholesterol?</t>
  </si>
  <si>
    <t>High blood pressure and my cholesterol was high last year.</t>
  </si>
  <si>
    <t>dh_meds</t>
  </si>
  <si>
    <t>drugs</t>
  </si>
  <si>
    <t>Do you take any regular medicines?</t>
  </si>
  <si>
    <t>Amlodipine for blood pressure.</t>
  </si>
  <si>
    <t>dh_pde5</t>
  </si>
  <si>
    <t>Have you taken any other tablets recently, including ones without a prescription?</t>
  </si>
  <si>
    <t>I took a sildenafil tablet last night.</t>
  </si>
  <si>
    <t>Sildenafil within 24 hours is a contraindication to nitrates such as GTN.</t>
  </si>
  <si>
    <t>al_allergies</t>
  </si>
  <si>
    <t>allergies</t>
  </si>
  <si>
    <t>Any allergies?</t>
  </si>
  <si>
    <t>None that I know of.</t>
  </si>
  <si>
    <t>sh_smoking</t>
  </si>
  <si>
    <t>social</t>
  </si>
  <si>
    <t>Do you smoke?</t>
  </si>
  <si>
    <t>Twenty a day since I was 18.</t>
  </si>
  <si>
    <t>sh_job</t>
  </si>
  <si>
    <t>What do you do for work?</t>
  </si>
  <si>
    <t>I'm a taxi driver.</t>
  </si>
  <si>
    <t>irrelevant</t>
  </si>
  <si>
    <t>sh_pets</t>
  </si>
  <si>
    <t>Do you have any pets?</t>
  </si>
  <si>
    <t>A cat.</t>
  </si>
  <si>
    <t>fh_cardiac</t>
  </si>
  <si>
    <t>family</t>
  </si>
  <si>
    <t>Any heart disease in the family?</t>
  </si>
  <si>
    <t>My father died of a heart attack at 52.</t>
  </si>
  <si>
    <t>One row per exam point with its finding. Exam points come from the shared list (see 'Lists').</t>
  </si>
  <si>
    <t>Exam point *</t>
  </si>
  <si>
    <t>Finding (text) *</t>
  </si>
  <si>
    <t>Sound file</t>
  </si>
  <si>
    <t>Image file</t>
  </si>
  <si>
    <t>Relevant? *</t>
  </si>
  <si>
    <t>general_inspection</t>
  </si>
  <si>
    <t>Pale, sweaty, clutching his chest, in obvious discomfort.</t>
  </si>
  <si>
    <t>yes</t>
  </si>
  <si>
    <t>radial_pulse</t>
  </si>
  <si>
    <t>Regular, 98 bpm.</t>
  </si>
  <si>
    <t>blood_pressure</t>
  </si>
  <si>
    <t>148/92 in both arms.</t>
  </si>
  <si>
    <t>Checking BP in both arms helps exclude aortic dissection.</t>
  </si>
  <si>
    <t>heart_auscultation</t>
  </si>
  <si>
    <t>Normal heart sounds, no murmurs.</t>
  </si>
  <si>
    <t>sounds/heart-normal.mp3</t>
  </si>
  <si>
    <t>chest_auscultation_front</t>
  </si>
  <si>
    <t>Vesicular breath sounds, no crackles.</t>
  </si>
  <si>
    <t>sounds/lung-normal.mp3</t>
  </si>
  <si>
    <t>chest_auscultation_back</t>
  </si>
  <si>
    <t>Clear bases.</t>
  </si>
  <si>
    <t>jvp</t>
  </si>
  <si>
    <t>JVP not raised.</t>
  </si>
  <si>
    <t>ankle_oedema</t>
  </si>
  <si>
    <t>No oedema.</t>
  </si>
  <si>
    <t>abdomen_palpation</t>
  </si>
  <si>
    <t>Soft, non-tender.</t>
  </si>
  <si>
    <t>no</t>
  </si>
  <si>
    <t>pupils</t>
  </si>
  <si>
    <t>Equal and reactive.</t>
  </si>
  <si>
    <t>reflexes_knee</t>
  </si>
  <si>
    <t>Normal.</t>
  </si>
  <si>
    <t>Starting vital signs. Changes over time go on the 'Vital events' tab.</t>
  </si>
  <si>
    <t>Heart rate (bpm) *</t>
  </si>
  <si>
    <t>Systolic BP (mmHg) *</t>
  </si>
  <si>
    <t>Diastolic BP (mmHg) *</t>
  </si>
  <si>
    <t>Respiratory rate (/min) *</t>
  </si>
  <si>
    <t>SpO2 (%) *</t>
  </si>
  <si>
    <t>Temperature (°C) *</t>
  </si>
  <si>
    <t>Changes to vital signs. timed = at a case minute; after_action = some minutes after an action; deterioration = at a case minute unless one of the listed actions happened first. Use several rows with the same Event id for several vitals.</t>
  </si>
  <si>
    <t>Event id *</t>
  </si>
  <si>
    <t>Type *</t>
  </si>
  <si>
    <t>At minute (timed / deterioration)</t>
  </si>
  <si>
    <t>Action (after_action)</t>
  </si>
  <si>
    <t>Minutes after action</t>
  </si>
  <si>
    <t>Unless these actions (deterioration, comma separated)</t>
  </si>
  <si>
    <t>Vital *</t>
  </si>
  <si>
    <t>Change</t>
  </si>
  <si>
    <t>Value *</t>
  </si>
  <si>
    <t>Over minutes</t>
  </si>
  <si>
    <t>Message shown (deterioration)</t>
  </si>
  <si>
    <t>pain_worsens</t>
  </si>
  <si>
    <t>timed</t>
  </si>
  <si>
    <t>hr</t>
  </si>
  <si>
    <t>delta</t>
  </si>
  <si>
    <t>o2_response</t>
  </si>
  <si>
    <t>after_action</t>
  </si>
  <si>
    <t>oxygen</t>
  </si>
  <si>
    <t>spo2</t>
  </si>
  <si>
    <t>set</t>
  </si>
  <si>
    <t>morphine_response</t>
  </si>
  <si>
    <t>morphine</t>
  </si>
  <si>
    <t>rr</t>
  </si>
  <si>
    <t>gtn_hypotension</t>
  </si>
  <si>
    <t>gtn</t>
  </si>
  <si>
    <t>sbp</t>
  </si>
  <si>
    <t>dbp</t>
  </si>
  <si>
    <t>hypoxia</t>
  </si>
  <si>
    <t>deterioration</t>
  </si>
  <si>
    <t>The patient is becoming more breathless.</t>
  </si>
  <si>
    <t>One row per orderable test with its result. Numeric results go on 'Result values'.</t>
  </si>
  <si>
    <t>Test *</t>
  </si>
  <si>
    <t>Result (text) *</t>
  </si>
  <si>
    <t>ECG file</t>
  </si>
  <si>
    <t>Turnaround (case minutes) *</t>
  </si>
  <si>
    <t>Indicated? *</t>
  </si>
  <si>
    <t>Points if indicated</t>
  </si>
  <si>
    <t>Penalty if not indicated</t>
  </si>
  <si>
    <t>ecg</t>
  </si>
  <si>
    <t>Sinus rhythm 98 bpm. ST elevation in II, III and aVF with reciprocal ST depression in I and aVL.</t>
  </si>
  <si>
    <t>ecg/inferior-stemi.png</t>
  </si>
  <si>
    <t>An ECG within 10 minutes of arrival is the key test in chest pain.</t>
  </si>
  <si>
    <t>troponin</t>
  </si>
  <si>
    <t>High-sensitivity troponin raised.</t>
  </si>
  <si>
    <t>fbc</t>
  </si>
  <si>
    <t>u_and_e</t>
  </si>
  <si>
    <t>Normal renal function.</t>
  </si>
  <si>
    <t>glucose</t>
  </si>
  <si>
    <t>6.4 mmol/L.</t>
  </si>
  <si>
    <t>cxr</t>
  </si>
  <si>
    <t>Normal heart size, clear lung fields, normal mediastinum.</t>
  </si>
  <si>
    <t>images/cxr-normal.png</t>
  </si>
  <si>
    <t>ct_chest</t>
  </si>
  <si>
    <t>No acute abnormality.</t>
  </si>
  <si>
    <t>CT chest does not change management in a clear STEMI and delays reperfusion.</t>
  </si>
  <si>
    <t>d_dimer</t>
  </si>
  <si>
    <t>Mildly raised.</t>
  </si>
  <si>
    <t>lft</t>
  </si>
  <si>
    <t>Optional numeric values shown with a test result.</t>
  </si>
  <si>
    <t>Unit</t>
  </si>
  <si>
    <t>Flag</t>
  </si>
  <si>
    <t>hs-TnI</t>
  </si>
  <si>
    <t>860</t>
  </si>
  <si>
    <t>ng/L</t>
  </si>
  <si>
    <t>critical</t>
  </si>
  <si>
    <t>Hb</t>
  </si>
  <si>
    <t>148</t>
  </si>
  <si>
    <t>g/L</t>
  </si>
  <si>
    <t>normal</t>
  </si>
  <si>
    <t>Creatinine</t>
  </si>
  <si>
    <t>88</t>
  </si>
  <si>
    <t>umol/L</t>
  </si>
  <si>
    <t>K</t>
  </si>
  <si>
    <t>4.1</t>
  </si>
  <si>
    <t>mmol/L</t>
  </si>
  <si>
    <t>All diagnoses the student can choose from. Mark exactly one as correct; give points to acceptable differentials.</t>
  </si>
  <si>
    <t>Diagnosis *</t>
  </si>
  <si>
    <t>Correct?</t>
  </si>
  <si>
    <t>Points (correct or acceptable)</t>
  </si>
  <si>
    <t>Feedback (on the correct row)</t>
  </si>
  <si>
    <t>inferior_stemi</t>
  </si>
  <si>
    <t>Inferior ST-elevation myocardial infarction</t>
  </si>
  <si>
    <t>ST elevation in II, III and aVF with reciprocal change is an inferior STEMI.</t>
  </si>
  <si>
    <t>nstemi</t>
  </si>
  <si>
    <t>Non-ST-elevation myocardial infarction</t>
  </si>
  <si>
    <t>unstable_angina</t>
  </si>
  <si>
    <t>Unstable angina</t>
  </si>
  <si>
    <t>aortic_dissection</t>
  </si>
  <si>
    <t>Aortic dissection</t>
  </si>
  <si>
    <t>pulmonary_embolism</t>
  </si>
  <si>
    <t>Pulmonary embolism</t>
  </si>
  <si>
    <t>pericarditis</t>
  </si>
  <si>
    <t>Pericarditis</t>
  </si>
  <si>
    <t>gord</t>
  </si>
  <si>
    <t>Gastro-oesophageal reflux</t>
  </si>
  <si>
    <t>musculoskeletal</t>
  </si>
  <si>
    <t>Musculoskeletal chest pain</t>
  </si>
  <si>
    <t>Drugs and actions that score or are harmful. Actions come from the shared list (see 'Lists').</t>
  </si>
  <si>
    <t>Action *</t>
  </si>
  <si>
    <t>Classification *</t>
  </si>
  <si>
    <t>Points (or penalty if harmful)</t>
  </si>
  <si>
    <t>Full points only within (minutes)</t>
  </si>
  <si>
    <t>Points if later</t>
  </si>
  <si>
    <t>Critical error?</t>
  </si>
  <si>
    <t>aspirin</t>
  </si>
  <si>
    <t>correct</t>
  </si>
  <si>
    <t>Aspirin 300 mg should be given as early as possible.</t>
  </si>
  <si>
    <t>ticagrelor</t>
  </si>
  <si>
    <t>Oxygen is indicated because SpO2 is below 94%.</t>
  </si>
  <si>
    <t>acceptable</t>
  </si>
  <si>
    <t>metoclopramide</t>
  </si>
  <si>
    <t>iv_access</t>
  </si>
  <si>
    <t>cardiac_monitoring</t>
  </si>
  <si>
    <t>refer_cardiology</t>
  </si>
  <si>
    <t>STEMI needs urgent primary PCI.</t>
  </si>
  <si>
    <t>heparin</t>
  </si>
  <si>
    <t>harmful</t>
  </si>
  <si>
    <t>GTN after recent sildenafil can cause profound hypotension. Always ask about PDE-5 inhibitors before nitrates.</t>
  </si>
  <si>
    <t>ibuprofen</t>
  </si>
  <si>
    <t>NSAIDs increase risk in acute MI.</t>
  </si>
  <si>
    <t>discharge</t>
  </si>
  <si>
    <t>paracetamol</t>
  </si>
  <si>
    <t>neutral</t>
  </si>
  <si>
    <t>Actions that must be given in this order (comma separated), and the penalty if they are not.</t>
  </si>
  <si>
    <t>Actions in order *</t>
  </si>
  <si>
    <t>Penalty *</t>
  </si>
  <si>
    <t>Feedback</t>
  </si>
  <si>
    <t>aspirin, refer_cardiology</t>
  </si>
  <si>
    <t>Give antiplatelet therapy before transfer for PCI.</t>
  </si>
  <si>
    <t>Checkpoint questions. Their options go on 'Question options'.</t>
  </si>
  <si>
    <t>Question id *</t>
  </si>
  <si>
    <t>When asked *</t>
  </si>
  <si>
    <t>At minute (time)</t>
  </si>
  <si>
    <t>After action</t>
  </si>
  <si>
    <t>Points *</t>
  </si>
  <si>
    <t>q_ecg_territory</t>
  </si>
  <si>
    <t>single</t>
  </si>
  <si>
    <t>Which coronary territory is most likely affected?</t>
  </si>
  <si>
    <t>Inferior leads (II, III, aVF) usually reflect the right coronary artery.</t>
  </si>
  <si>
    <t>q_nitrate_ci</t>
  </si>
  <si>
    <t>before_diagnosis</t>
  </si>
  <si>
    <t>multiple</t>
  </si>
  <si>
    <t>Which of these are contraindications to GTN?</t>
  </si>
  <si>
    <t>q_reperfusion</t>
  </si>
  <si>
    <t>time</t>
  </si>
  <si>
    <t>short_list</t>
  </si>
  <si>
    <t>What is the target time from diagnosis to reperfusion with primary PCI?</t>
  </si>
  <si>
    <t>One row per option. Mark the right option(s) as correct.</t>
  </si>
  <si>
    <t>Option id (optional)</t>
  </si>
  <si>
    <t>Option *</t>
  </si>
  <si>
    <t>lad</t>
  </si>
  <si>
    <t>Left anterior descending</t>
  </si>
  <si>
    <t>rca</t>
  </si>
  <si>
    <t>Right coronary artery</t>
  </si>
  <si>
    <t>lcx</t>
  </si>
  <si>
    <t>Left circumflex</t>
  </si>
  <si>
    <t>pde5</t>
  </si>
  <si>
    <t>PDE-5 inhibitor in the last 24-48 h</t>
  </si>
  <si>
    <t>sbp_low</t>
  </si>
  <si>
    <t>Systolic BP below 90 mmHg</t>
  </si>
  <si>
    <t>rv_infarct</t>
  </si>
  <si>
    <t>Suspected right ventricular infarct</t>
  </si>
  <si>
    <t>smoker</t>
  </si>
  <si>
    <t>Current smoker</t>
  </si>
  <si>
    <t>60</t>
  </si>
  <si>
    <t>60 minutes</t>
  </si>
  <si>
    <t>120</t>
  </si>
  <si>
    <t>120 minutes</t>
  </si>
  <si>
    <t>360</t>
  </si>
  <si>
    <t>6 hours</t>
  </si>
  <si>
    <t>How the case is scored. Decision and question weights must add up to 1 (default 0.7 / 0.3).</t>
  </si>
  <si>
    <t>Decision weight (0-1)</t>
  </si>
  <si>
    <t>Question weight (0-1)</t>
  </si>
  <si>
    <t>Pass mark (%)</t>
  </si>
  <si>
    <t>Penalty per irrelevant history question</t>
  </si>
  <si>
    <t>Maximum differentials a student may list</t>
  </si>
  <si>
    <t>yesno</t>
  </si>
  <si>
    <t>difficulty</t>
  </si>
  <si>
    <t>model</t>
  </si>
  <si>
    <t>sex</t>
  </si>
  <si>
    <t>topic</t>
  </si>
  <si>
    <t>relevance</t>
  </si>
  <si>
    <t>examPoint</t>
  </si>
  <si>
    <t>test</t>
  </si>
  <si>
    <t>action</t>
  </si>
  <si>
    <t>classification</t>
  </si>
  <si>
    <t>vital</t>
  </si>
  <si>
    <t>changeMode</t>
  </si>
  <si>
    <t>eventType</t>
  </si>
  <si>
    <t>checkpoint</t>
  </si>
  <si>
    <t>questionType</t>
  </si>
  <si>
    <t>flag</t>
  </si>
  <si>
    <t>Exam points: id</t>
  </si>
  <si>
    <t>label</t>
  </si>
  <si>
    <t>Tests: id</t>
  </si>
  <si>
    <t>Actions and drugs: id</t>
  </si>
  <si>
    <t>easy</t>
  </si>
  <si>
    <t>General inspection (hands)</t>
  </si>
  <si>
    <t>12-lead ECG</t>
  </si>
  <si>
    <t>Aspirin — 300 mg PO</t>
  </si>
  <si>
    <t>adult_female</t>
  </si>
  <si>
    <t>female</t>
  </si>
  <si>
    <t>clopidogrel</t>
  </si>
  <si>
    <t>high</t>
  </si>
  <si>
    <t>Pupils (penlight)</t>
  </si>
  <si>
    <t>Troponin</t>
  </si>
  <si>
    <t>Clopidogrel — 300 mg PO</t>
  </si>
  <si>
    <t>hard</t>
  </si>
  <si>
    <t>elderly</t>
  </si>
  <si>
    <t>conjunctiva</t>
  </si>
  <si>
    <t>low</t>
  </si>
  <si>
    <t>Conjunctiva (penlight)</t>
  </si>
  <si>
    <t>Full blood count</t>
  </si>
  <si>
    <t>Ticagrelor — 180 mg PO</t>
  </si>
  <si>
    <t>child</t>
  </si>
  <si>
    <t>Jugular venous pressure (hands)</t>
  </si>
  <si>
    <t>Urea &amp; electrolytes</t>
  </si>
  <si>
    <t>GTN — 400 mcg SL</t>
  </si>
  <si>
    <t>carotid_pulse</t>
  </si>
  <si>
    <t>Carotid pulse (hands)</t>
  </si>
  <si>
    <t>Liver function tests</t>
  </si>
  <si>
    <t>Morphine — 2.5-5 mg IV</t>
  </si>
  <si>
    <t>crp</t>
  </si>
  <si>
    <t>temp</t>
  </si>
  <si>
    <t>Radial pulse (hands)</t>
  </si>
  <si>
    <t>CRP</t>
  </si>
  <si>
    <t>Metoclopramide — 10 mg IV</t>
  </si>
  <si>
    <t>systems_review</t>
  </si>
  <si>
    <t>Blood pressure (bp_cuff)</t>
  </si>
  <si>
    <t>D-dimer</t>
  </si>
  <si>
    <t>Heparin (LMWH) — 1 mg/kg SC</t>
  </si>
  <si>
    <t>temperature</t>
  </si>
  <si>
    <t>abg</t>
  </si>
  <si>
    <t>salbutamol</t>
  </si>
  <si>
    <t>Temperature (thermometer)</t>
  </si>
  <si>
    <t>Arterial blood gas</t>
  </si>
  <si>
    <t>Salbutamol — 5 mg nebulised</t>
  </si>
  <si>
    <t>ipratropium</t>
  </si>
  <si>
    <t>Heart auscultation (stethoscope)</t>
  </si>
  <si>
    <t>Capillary glucose</t>
  </si>
  <si>
    <t>Ipratropium — 500 mcg nebulised</t>
  </si>
  <si>
    <t>lipids</t>
  </si>
  <si>
    <t>prednisolone</t>
  </si>
  <si>
    <t>Chest auscultation (front) (stethoscope)</t>
  </si>
  <si>
    <t>Lipid profile</t>
  </si>
  <si>
    <t>Prednisolone — 40 mg PO</t>
  </si>
  <si>
    <t>coag</t>
  </si>
  <si>
    <t>hydrocortisone</t>
  </si>
  <si>
    <t>Chest auscultation (back) (stethoscope)</t>
  </si>
  <si>
    <t>Coagulation screen</t>
  </si>
  <si>
    <t>Hydrocortisone — 100 mg IV</t>
  </si>
  <si>
    <t>chest_percussion</t>
  </si>
  <si>
    <t>blood_culture</t>
  </si>
  <si>
    <t>amoxicillin</t>
  </si>
  <si>
    <t>Chest percussion (hands)</t>
  </si>
  <si>
    <t>Blood cultures</t>
  </si>
  <si>
    <t>Amoxicillin — 500 mg PO</t>
  </si>
  <si>
    <t>chest_wall_palpation</t>
  </si>
  <si>
    <t>urinalysis</t>
  </si>
  <si>
    <t>co_amoxiclav</t>
  </si>
  <si>
    <t>Chest wall palpation (hands)</t>
  </si>
  <si>
    <t>Urine dipstick</t>
  </si>
  <si>
    <t>Co-amoxiclav — 1.2 g IV</t>
  </si>
  <si>
    <t>Abdomen palpation (hands)</t>
  </si>
  <si>
    <t>Chest X-ray</t>
  </si>
  <si>
    <t>Paracetamol — 1 g PO</t>
  </si>
  <si>
    <t>abdomen_auscultation</t>
  </si>
  <si>
    <t>ct_head</t>
  </si>
  <si>
    <t>Bowel sounds (stethoscope)</t>
  </si>
  <si>
    <t>CT head</t>
  </si>
  <si>
    <t>Ibuprofen — 400 mg PO</t>
  </si>
  <si>
    <t>calf_inspection</t>
  </si>
  <si>
    <t>furosemide</t>
  </si>
  <si>
    <t>Calves (hands)</t>
  </si>
  <si>
    <t>CT chest</t>
  </si>
  <si>
    <t>Furosemide — 40 mg IV</t>
  </si>
  <si>
    <t>ctpa</t>
  </si>
  <si>
    <t>adrenaline_im</t>
  </si>
  <si>
    <t>Ankle oedema (hands)</t>
  </si>
  <si>
    <t>CT pulmonary angiogram</t>
  </si>
  <si>
    <t>Adrenaline — 0.5 mg IM</t>
  </si>
  <si>
    <t>echo</t>
  </si>
  <si>
    <t>insulin</t>
  </si>
  <si>
    <t>Knee reflex (hammer)</t>
  </si>
  <si>
    <t>Echocardiogram</t>
  </si>
  <si>
    <t>Insulin (actrapid) — per protocol</t>
  </si>
  <si>
    <t>reflexes_biceps</t>
  </si>
  <si>
    <t>abdo_us</t>
  </si>
  <si>
    <t>sildenafil</t>
  </si>
  <si>
    <t>Biceps reflex (hammer)</t>
  </si>
  <si>
    <t>Abdominal ultrasound</t>
  </si>
  <si>
    <t>Sildenafil — 50 mg PO</t>
  </si>
  <si>
    <t>capillary_refill</t>
  </si>
  <si>
    <t>Capillary refill (hands)</t>
  </si>
  <si>
    <t>Oxygen — target SpO2 94-98%</t>
  </si>
  <si>
    <t>iv_fluids</t>
  </si>
  <si>
    <t>IV fluids — 500 mL crystalloid</t>
  </si>
  <si>
    <t>IV access</t>
  </si>
  <si>
    <t>Cardiac monitoring</t>
  </si>
  <si>
    <t>Refer to cardiology (PCI)</t>
  </si>
  <si>
    <t>refer_medicine</t>
  </si>
  <si>
    <t>Refer to medical team</t>
  </si>
  <si>
    <t>refer_surgery</t>
  </si>
  <si>
    <t>Refer to surgical team</t>
  </si>
  <si>
    <t>refer_icu</t>
  </si>
  <si>
    <t>Refer to ICU</t>
  </si>
  <si>
    <t>Discharge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</si>
</sst>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5B6B7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8B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9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12</v>
      </c>
      <c r="B3" s="2" t="s">
        <v>13</v>
      </c>
    </row>
    <row r="4" spans="1:2" x14ac:dyDescent="0.25">
      <c r="A4" t="s">
        <v>14</v>
      </c>
      <c r="B4" s="2" t="s">
        <v>15</v>
      </c>
    </row>
    <row r="5" spans="1:2" x14ac:dyDescent="0.25">
      <c r="A5" t="s">
        <v>16</v>
      </c>
      <c r="B5" s="2" t="s">
        <v>17</v>
      </c>
    </row>
    <row r="6" spans="1:2" x14ac:dyDescent="0.25">
      <c r="A6" t="s">
        <v>18</v>
      </c>
      <c r="B6" s="2" t="s">
        <v>19</v>
      </c>
    </row>
    <row r="7" spans="1:2" x14ac:dyDescent="0.25">
      <c r="A7" t="s">
        <v>20</v>
      </c>
      <c r="B7" s="2" t="s">
        <v>21</v>
      </c>
    </row>
    <row r="8" spans="1:2" x14ac:dyDescent="0.25">
      <c r="A8" t="s">
        <v>22</v>
      </c>
      <c r="B8" s="2">
        <v>20</v>
      </c>
    </row>
    <row r="9" spans="1:2" x14ac:dyDescent="0.25">
      <c r="A9" t="s">
        <v>23</v>
      </c>
      <c r="B9" s="2" t="s">
        <v>24</v>
      </c>
    </row>
    <row r="10" spans="1:2" x14ac:dyDescent="0.25">
      <c r="A10" t="s">
        <v>23</v>
      </c>
      <c r="B10" s="2" t="s">
        <v>25</v>
      </c>
    </row>
    <row r="11" spans="1:2" x14ac:dyDescent="0.25">
      <c r="A11" t="s">
        <v>23</v>
      </c>
      <c r="B11" s="2" t="s">
        <v>26</v>
      </c>
    </row>
    <row r="12" spans="1:2" x14ac:dyDescent="0.25">
      <c r="A12" t="s">
        <v>23</v>
      </c>
      <c r="B12" s="2"/>
    </row>
    <row r="13" spans="1:2" x14ac:dyDescent="0.25">
      <c r="A13" t="s">
        <v>23</v>
      </c>
      <c r="B13" s="2"/>
    </row>
    <row r="14" spans="1:2" x14ac:dyDescent="0.25">
      <c r="A14" t="s">
        <v>27</v>
      </c>
      <c r="B14" s="2" t="s">
        <v>28</v>
      </c>
    </row>
    <row r="15" spans="1:2" x14ac:dyDescent="0.25">
      <c r="A15" t="s">
        <v>27</v>
      </c>
      <c r="B15" s="2"/>
    </row>
    <row r="16" spans="1:2" x14ac:dyDescent="0.25">
      <c r="A16" t="s">
        <v>27</v>
      </c>
      <c r="B16" s="2"/>
    </row>
    <row r="17" spans="1:2" x14ac:dyDescent="0.25">
      <c r="A17" t="s">
        <v>27</v>
      </c>
      <c r="B17" s="2"/>
    </row>
    <row r="18" spans="1:2" x14ac:dyDescent="0.25">
      <c r="A18" t="s">
        <v>29</v>
      </c>
      <c r="B18" s="2"/>
    </row>
  </sheetData>
  <mergeCells count="1">
    <mergeCell ref="A1:B1"/>
  </mergeCells>
  <dataValidations count="2">
    <dataValidation type="list" showErrorMessage="1" errorTitle="Not in the list" error="Choose a value from the list (see the 'Lists' tab)." sqref="B7">
      <formula1>Lists!$B$2:$B$4</formula1>
    </dataValidation>
    <dataValidation type="decimal" operator="greaterThanOrEqual" showErrorMessage="1" error="Enter a number." sqref="B8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30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31</v>
      </c>
      <c r="B3" s="2" t="s">
        <v>32</v>
      </c>
    </row>
    <row r="4" spans="1:2" x14ac:dyDescent="0.25">
      <c r="A4" t="s">
        <v>33</v>
      </c>
      <c r="B4" s="2" t="s">
        <v>34</v>
      </c>
    </row>
    <row r="5" spans="1:2" x14ac:dyDescent="0.25">
      <c r="A5" t="s">
        <v>35</v>
      </c>
      <c r="B5" s="2">
        <v>45</v>
      </c>
    </row>
    <row r="6" spans="1:2" x14ac:dyDescent="0.25">
      <c r="A6" t="s">
        <v>36</v>
      </c>
      <c r="B6" s="2" t="s">
        <v>37</v>
      </c>
    </row>
    <row r="7" spans="1:2" x14ac:dyDescent="0.25">
      <c r="A7" t="s">
        <v>38</v>
      </c>
      <c r="B7" s="2" t="s">
        <v>39</v>
      </c>
    </row>
    <row r="8" spans="1:2" x14ac:dyDescent="0.25">
      <c r="A8" t="s">
        <v>40</v>
      </c>
      <c r="B8" s="2" t="s">
        <v>41</v>
      </c>
    </row>
    <row r="9" spans="1:2" x14ac:dyDescent="0.25">
      <c r="A9" t="s">
        <v>42</v>
      </c>
      <c r="B9" s="2" t="s">
        <v>43</v>
      </c>
    </row>
  </sheetData>
  <mergeCells count="1">
    <mergeCell ref="A1:B1"/>
  </mergeCells>
  <dataValidations count="3">
    <dataValidation type="list" showErrorMessage="1" errorTitle="Not in the list" error="Choose a value from the list (see the 'Lists' tab)." sqref="B3">
      <formula1>Lists!$C$2:$C$5</formula1>
    </dataValidation>
    <dataValidation type="decimal" operator="greaterThanOrEqual" showErrorMessage="1" error="Enter a number." sqref="B5">
      <formula1>-100000</formula1>
    </dataValidation>
    <dataValidation type="list" showErrorMessage="1" errorTitle="Not in the list" error="Choose a value from the list (see the 'Lists' tab)." sqref="B6">
      <formula1>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4" customWidth="1"/>
    <col min="4" max="4" width="50" customWidth="1"/>
    <col min="5" max="5" width="14" customWidth="1"/>
    <col min="7" max="7" width="44" customWidth="1"/>
  </cols>
  <sheetData>
    <row r="1" ht="30" customHeight="1" spans="1:7" x14ac:dyDescent="0.25">
      <c r="A1" s="5" t="s">
        <v>44</v>
      </c>
      <c r="B1" s="5"/>
      <c r="C1" s="5"/>
      <c r="D1" s="5"/>
      <c r="E1" s="5"/>
      <c r="F1" s="5"/>
      <c r="G1" s="5"/>
    </row>
    <row r="2" ht="32" customHeight="1" spans="1:7" x14ac:dyDescent="0.25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</row>
    <row r="3" spans="1:6" x14ac:dyDescent="0.25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>
        <v>2</v>
      </c>
    </row>
    <row r="4" spans="1:6" x14ac:dyDescent="0.25">
      <c r="A4" s="2" t="s">
        <v>57</v>
      </c>
      <c r="B4" s="2" t="s">
        <v>53</v>
      </c>
      <c r="C4" s="2" t="s">
        <v>58</v>
      </c>
      <c r="D4" s="2" t="s">
        <v>59</v>
      </c>
      <c r="E4" s="2" t="s">
        <v>56</v>
      </c>
      <c r="F4" s="2">
        <v>2</v>
      </c>
    </row>
    <row r="5" spans="1:7" x14ac:dyDescent="0.25">
      <c r="A5" s="2" t="s">
        <v>60</v>
      </c>
      <c r="B5" s="2" t="s">
        <v>53</v>
      </c>
      <c r="C5" s="2" t="s">
        <v>61</v>
      </c>
      <c r="D5" s="2" t="s">
        <v>62</v>
      </c>
      <c r="E5" s="2" t="s">
        <v>56</v>
      </c>
      <c r="F5" s="2">
        <v>2</v>
      </c>
      <c r="G5" s="2" t="s">
        <v>63</v>
      </c>
    </row>
    <row r="6" spans="1:6" x14ac:dyDescent="0.25">
      <c r="A6" s="2" t="s">
        <v>64</v>
      </c>
      <c r="B6" s="2" t="s">
        <v>53</v>
      </c>
      <c r="C6" s="2" t="s">
        <v>65</v>
      </c>
      <c r="D6" s="2" t="s">
        <v>66</v>
      </c>
      <c r="E6" s="2" t="s">
        <v>56</v>
      </c>
      <c r="F6" s="2">
        <v>2</v>
      </c>
    </row>
    <row r="7" spans="1:6" x14ac:dyDescent="0.25">
      <c r="A7" s="2" t="s">
        <v>67</v>
      </c>
      <c r="B7" s="2" t="s">
        <v>53</v>
      </c>
      <c r="C7" s="2" t="s">
        <v>68</v>
      </c>
      <c r="D7" s="2" t="s">
        <v>69</v>
      </c>
      <c r="E7" s="2" t="s">
        <v>70</v>
      </c>
      <c r="F7" s="2">
        <v>1</v>
      </c>
    </row>
    <row r="8" spans="1:6" x14ac:dyDescent="0.25">
      <c r="A8" s="2" t="s">
        <v>71</v>
      </c>
      <c r="B8" s="2" t="s">
        <v>72</v>
      </c>
      <c r="C8" s="2" t="s">
        <v>73</v>
      </c>
      <c r="D8" s="2" t="s">
        <v>74</v>
      </c>
      <c r="E8" s="2" t="s">
        <v>70</v>
      </c>
      <c r="F8" s="2">
        <v>1</v>
      </c>
    </row>
    <row r="9" spans="1:6" x14ac:dyDescent="0.25">
      <c r="A9" s="2" t="s">
        <v>75</v>
      </c>
      <c r="B9" s="2" t="s">
        <v>72</v>
      </c>
      <c r="C9" s="2" t="s">
        <v>76</v>
      </c>
      <c r="D9" s="2" t="s">
        <v>77</v>
      </c>
      <c r="E9" s="2" t="s">
        <v>56</v>
      </c>
      <c r="F9" s="2">
        <v>2</v>
      </c>
    </row>
    <row r="10" spans="1:6" x14ac:dyDescent="0.25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70</v>
      </c>
      <c r="F10" s="2">
        <v>1</v>
      </c>
    </row>
    <row r="11" spans="1:7" x14ac:dyDescent="0.25">
      <c r="A11" s="2" t="s">
        <v>82</v>
      </c>
      <c r="B11" s="2" t="s">
        <v>79</v>
      </c>
      <c r="C11" s="2" t="s">
        <v>83</v>
      </c>
      <c r="D11" s="2" t="s">
        <v>84</v>
      </c>
      <c r="E11" s="2" t="s">
        <v>56</v>
      </c>
      <c r="F11" s="2">
        <v>3</v>
      </c>
      <c r="G11" s="2" t="s">
        <v>85</v>
      </c>
    </row>
    <row r="12" spans="1:6" x14ac:dyDescent="0.2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56</v>
      </c>
      <c r="F12" s="2">
        <v>2</v>
      </c>
    </row>
    <row r="13" spans="1:6" x14ac:dyDescent="0.25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56</v>
      </c>
      <c r="F13" s="2">
        <v>2</v>
      </c>
    </row>
    <row r="14" spans="1:6" x14ac:dyDescent="0.25">
      <c r="A14" s="2" t="s">
        <v>94</v>
      </c>
      <c r="B14" s="2" t="s">
        <v>91</v>
      </c>
      <c r="C14" s="2" t="s">
        <v>95</v>
      </c>
      <c r="D14" s="2" t="s">
        <v>96</v>
      </c>
      <c r="E14" s="2" t="s">
        <v>97</v>
      </c>
      <c r="F14" s="2">
        <v>0</v>
      </c>
    </row>
    <row r="15" spans="1:6" x14ac:dyDescent="0.25">
      <c r="A15" s="2" t="s">
        <v>98</v>
      </c>
      <c r="B15" s="2" t="s">
        <v>91</v>
      </c>
      <c r="C15" s="2" t="s">
        <v>99</v>
      </c>
      <c r="D15" s="2" t="s">
        <v>100</v>
      </c>
      <c r="E15" s="2" t="s">
        <v>97</v>
      </c>
      <c r="F15" s="2">
        <v>0</v>
      </c>
    </row>
    <row r="16" spans="1:6" x14ac:dyDescent="0.25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70</v>
      </c>
      <c r="F16" s="2">
        <v>1</v>
      </c>
    </row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</sheetData>
  <mergeCells count="1">
    <mergeCell ref="A1:G1"/>
  </mergeCells>
  <dataValidations count="6">
    <dataValidation type="list" showErrorMessage="1" errorTitle="Not in the list" error="Choose a value from the list (see the 'Lists' tab)." sqref="B10:B300">
      <formula1>Lists!$E$2:$E$8</formula1>
    </dataValidation>
    <dataValidation type="list" showErrorMessage="1" errorTitle="Not in the list" error="Choose a value from the list (see the 'Lists' tab)." sqref="B3:B300">
      <formula1>Lists!$E$2:$E$8</formula1>
    </dataValidation>
    <dataValidation type="list" showErrorMessage="1" errorTitle="Not in the list" error="Choose a value from the list (see the 'Lists' tab)." sqref="E10:E300">
      <formula1>Lists!$F$2:$F$4</formula1>
    </dataValidation>
    <dataValidation type="list" showErrorMessage="1" errorTitle="Not in the list" error="Choose a value from the list (see the 'Lists' tab)." sqref="E3:E300">
      <formula1>Lists!$F$2:$F$4</formula1>
    </dataValidation>
    <dataValidation type="decimal" operator="greaterThanOrEqual" allowBlank="1" showErrorMessage="1" error="Enter a number." sqref="F10:F300">
      <formula1>-100000</formula1>
    </dataValidation>
    <dataValidation type="decimal" operator="greaterThanOrEqual" allowBlank="1" showErrorMessage="1" error="Enter a number." sqref="F3:F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4" customWidth="1"/>
    <col min="3" max="4" width="22" customWidth="1"/>
    <col min="5" max="5" width="11" customWidth="1"/>
    <col min="7" max="7" width="40" customWidth="1"/>
  </cols>
  <sheetData>
    <row r="1" ht="30" customHeight="1" spans="1:7" x14ac:dyDescent="0.25">
      <c r="A1" s="5" t="s">
        <v>105</v>
      </c>
      <c r="B1" s="5"/>
      <c r="C1" s="5"/>
      <c r="D1" s="5"/>
      <c r="E1" s="5"/>
      <c r="F1" s="5"/>
      <c r="G1" s="5"/>
    </row>
    <row r="2" ht="32" customHeight="1" spans="1:7" x14ac:dyDescent="0.25">
      <c r="A2" s="6" t="s">
        <v>106</v>
      </c>
      <c r="B2" s="6" t="s">
        <v>107</v>
      </c>
      <c r="C2" s="6" t="s">
        <v>108</v>
      </c>
      <c r="D2" s="6" t="s">
        <v>109</v>
      </c>
      <c r="E2" s="6" t="s">
        <v>110</v>
      </c>
      <c r="F2" s="6" t="s">
        <v>50</v>
      </c>
      <c r="G2" s="6" t="s">
        <v>51</v>
      </c>
    </row>
    <row r="3" spans="1:6" x14ac:dyDescent="0.25">
      <c r="A3" s="2" t="s">
        <v>111</v>
      </c>
      <c r="B3" s="2" t="s">
        <v>112</v>
      </c>
      <c r="E3" s="2" t="s">
        <v>113</v>
      </c>
      <c r="F3" s="2">
        <v>1</v>
      </c>
    </row>
    <row r="4" spans="1:6" x14ac:dyDescent="0.25">
      <c r="A4" s="2" t="s">
        <v>114</v>
      </c>
      <c r="B4" s="2" t="s">
        <v>115</v>
      </c>
      <c r="E4" s="2" t="s">
        <v>113</v>
      </c>
      <c r="F4" s="2">
        <v>1</v>
      </c>
    </row>
    <row r="5" spans="1:7" x14ac:dyDescent="0.25">
      <c r="A5" s="2" t="s">
        <v>116</v>
      </c>
      <c r="B5" s="2" t="s">
        <v>117</v>
      </c>
      <c r="E5" s="2" t="s">
        <v>113</v>
      </c>
      <c r="F5" s="2">
        <v>2</v>
      </c>
      <c r="G5" s="2" t="s">
        <v>118</v>
      </c>
    </row>
    <row r="6" spans="1:6" x14ac:dyDescent="0.25">
      <c r="A6" s="2" t="s">
        <v>119</v>
      </c>
      <c r="B6" s="2" t="s">
        <v>120</v>
      </c>
      <c r="C6" s="2" t="s">
        <v>121</v>
      </c>
      <c r="E6" s="2" t="s">
        <v>113</v>
      </c>
      <c r="F6" s="2">
        <v>3</v>
      </c>
    </row>
    <row r="7" spans="1:6" x14ac:dyDescent="0.25">
      <c r="A7" s="2" t="s">
        <v>122</v>
      </c>
      <c r="B7" s="2" t="s">
        <v>123</v>
      </c>
      <c r="C7" s="2" t="s">
        <v>124</v>
      </c>
      <c r="E7" s="2" t="s">
        <v>113</v>
      </c>
      <c r="F7" s="2">
        <v>3</v>
      </c>
    </row>
    <row r="8" spans="1:6" x14ac:dyDescent="0.25">
      <c r="A8" s="2" t="s">
        <v>125</v>
      </c>
      <c r="B8" s="2" t="s">
        <v>126</v>
      </c>
      <c r="C8" s="2" t="s">
        <v>124</v>
      </c>
      <c r="E8" s="2" t="s">
        <v>113</v>
      </c>
      <c r="F8" s="2">
        <v>1</v>
      </c>
    </row>
    <row r="9" spans="1:6" x14ac:dyDescent="0.25">
      <c r="A9" s="2" t="s">
        <v>127</v>
      </c>
      <c r="B9" s="2" t="s">
        <v>128</v>
      </c>
      <c r="E9" s="2" t="s">
        <v>113</v>
      </c>
      <c r="F9" s="2">
        <v>1</v>
      </c>
    </row>
    <row r="10" spans="1:6" x14ac:dyDescent="0.25">
      <c r="A10" s="2" t="s">
        <v>129</v>
      </c>
      <c r="B10" s="2" t="s">
        <v>130</v>
      </c>
      <c r="E10" s="2" t="s">
        <v>113</v>
      </c>
      <c r="F10" s="2">
        <v>1</v>
      </c>
    </row>
    <row r="11" spans="1:6" x14ac:dyDescent="0.25">
      <c r="A11" s="2" t="s">
        <v>131</v>
      </c>
      <c r="B11" s="2" t="s">
        <v>132</v>
      </c>
      <c r="E11" s="2" t="s">
        <v>133</v>
      </c>
      <c r="F11" s="2">
        <v>0</v>
      </c>
    </row>
    <row r="12" spans="1:6" x14ac:dyDescent="0.25">
      <c r="A12" s="2" t="s">
        <v>134</v>
      </c>
      <c r="B12" s="2" t="s">
        <v>135</v>
      </c>
      <c r="E12" s="2" t="s">
        <v>133</v>
      </c>
      <c r="F12" s="2">
        <v>0</v>
      </c>
    </row>
    <row r="13" spans="1:6" x14ac:dyDescent="0.25">
      <c r="A13" s="2" t="s">
        <v>136</v>
      </c>
      <c r="B13" s="2" t="s">
        <v>137</v>
      </c>
      <c r="E13" s="2" t="s">
        <v>133</v>
      </c>
      <c r="F13" s="2">
        <v>0</v>
      </c>
    </row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</sheetData>
  <mergeCells count="1">
    <mergeCell ref="A1:G1"/>
  </mergeCells>
  <dataValidations count="6">
    <dataValidation type="list" showErrorMessage="1" errorTitle="Not in the list" error="Choose a value from the list (see the 'Lists' tab)." sqref="A10:A300">
      <formula1>Lists!$G$2:$G$21</formula1>
    </dataValidation>
    <dataValidation type="list" showErrorMessage="1" errorTitle="Not in the list" error="Choose a value from the list (see the 'Lists' tab)." sqref="A3:A300">
      <formula1>Lists!$G$2:$G$21</formula1>
    </dataValidation>
    <dataValidation type="list" showErrorMessage="1" errorTitle="Not in the list" error="Choose a value from the list (see the 'Lists' tab)." sqref="E10:E300">
      <formula1>Lists!$A$2:$A$3</formula1>
    </dataValidation>
    <dataValidation type="list" showErrorMessage="1" errorTitle="Not in the list" error="Choose a value from the list (see the 'Lists' tab)." sqref="E3:E300">
      <formula1>Lists!$A$2:$A$3</formula1>
    </dataValidation>
    <dataValidation type="decimal" operator="greaterThanOrEqual" allowBlank="1" showErrorMessage="1" error="Enter a number." sqref="F10:F300">
      <formula1>-100000</formula1>
    </dataValidation>
    <dataValidation type="decimal" operator="greaterThanOrEqual" allowBlank="1" showErrorMessage="1" error="Enter a number." sqref="F3:F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138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139</v>
      </c>
      <c r="B3" s="2">
        <v>98</v>
      </c>
    </row>
    <row r="4" spans="1:2" x14ac:dyDescent="0.25">
      <c r="A4" t="s">
        <v>140</v>
      </c>
      <c r="B4" s="2">
        <v>148</v>
      </c>
    </row>
    <row r="5" spans="1:2" x14ac:dyDescent="0.25">
      <c r="A5" t="s">
        <v>141</v>
      </c>
      <c r="B5" s="2">
        <v>92</v>
      </c>
    </row>
    <row r="6" spans="1:2" x14ac:dyDescent="0.25">
      <c r="A6" t="s">
        <v>142</v>
      </c>
      <c r="B6" s="2">
        <v>20</v>
      </c>
    </row>
    <row r="7" spans="1:2" x14ac:dyDescent="0.25">
      <c r="A7" t="s">
        <v>143</v>
      </c>
      <c r="B7" s="2">
        <v>93</v>
      </c>
    </row>
    <row r="8" spans="1:2" x14ac:dyDescent="0.25">
      <c r="A8" t="s">
        <v>144</v>
      </c>
      <c r="B8" s="2">
        <v>36.9</v>
      </c>
    </row>
  </sheetData>
  <mergeCells count="1">
    <mergeCell ref="A1:B1"/>
  </mergeCells>
  <dataValidations count="1">
    <dataValidation type="decimal" operator="greaterThanOrEqual" showErrorMessage="1" error="Enter a number." sqref="B3:B8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4" customWidth="1"/>
    <col min="4" max="4" width="20" customWidth="1"/>
    <col min="5" max="5" width="12" customWidth="1"/>
    <col min="6" max="6" width="26" customWidth="1"/>
    <col min="10" max="10" width="10" customWidth="1"/>
    <col min="11" max="11" width="34" customWidth="1"/>
  </cols>
  <sheetData>
    <row r="1" ht="30" customHeight="1" spans="1:11" x14ac:dyDescent="0.25">
      <c r="A1" s="5" t="s">
        <v>145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32" customHeight="1" spans="1:11" x14ac:dyDescent="0.25">
      <c r="A2" s="6" t="s">
        <v>146</v>
      </c>
      <c r="B2" s="6" t="s">
        <v>147</v>
      </c>
      <c r="C2" s="6" t="s">
        <v>148</v>
      </c>
      <c r="D2" s="6" t="s">
        <v>149</v>
      </c>
      <c r="E2" s="6" t="s">
        <v>150</v>
      </c>
      <c r="F2" s="6" t="s">
        <v>151</v>
      </c>
      <c r="G2" s="6" t="s">
        <v>152</v>
      </c>
      <c r="H2" s="6" t="s">
        <v>153</v>
      </c>
      <c r="I2" s="6" t="s">
        <v>154</v>
      </c>
      <c r="J2" s="6" t="s">
        <v>155</v>
      </c>
      <c r="K2" s="6" t="s">
        <v>156</v>
      </c>
    </row>
    <row r="3" spans="1:10" x14ac:dyDescent="0.25">
      <c r="A3" s="2" t="s">
        <v>157</v>
      </c>
      <c r="B3" s="2" t="s">
        <v>158</v>
      </c>
      <c r="C3" s="2">
        <v>8</v>
      </c>
      <c r="G3" s="2" t="s">
        <v>159</v>
      </c>
      <c r="H3" s="2" t="s">
        <v>160</v>
      </c>
      <c r="I3" s="2">
        <v>10</v>
      </c>
      <c r="J3" s="2">
        <v>2</v>
      </c>
    </row>
    <row r="4" spans="1:10" x14ac:dyDescent="0.25">
      <c r="A4" s="2" t="s">
        <v>161</v>
      </c>
      <c r="B4" s="2" t="s">
        <v>162</v>
      </c>
      <c r="D4" s="2" t="s">
        <v>163</v>
      </c>
      <c r="E4" s="2">
        <v>0.5</v>
      </c>
      <c r="G4" s="2" t="s">
        <v>164</v>
      </c>
      <c r="H4" s="2" t="s">
        <v>165</v>
      </c>
      <c r="I4" s="2">
        <v>96</v>
      </c>
      <c r="J4" s="2">
        <v>2</v>
      </c>
    </row>
    <row r="5" spans="1:10" x14ac:dyDescent="0.25">
      <c r="A5" s="2" t="s">
        <v>166</v>
      </c>
      <c r="B5" s="2" t="s">
        <v>162</v>
      </c>
      <c r="D5" s="2" t="s">
        <v>167</v>
      </c>
      <c r="E5" s="2">
        <v>1</v>
      </c>
      <c r="G5" s="2" t="s">
        <v>159</v>
      </c>
      <c r="H5" s="2" t="s">
        <v>160</v>
      </c>
      <c r="I5" s="2">
        <v>-8</v>
      </c>
      <c r="J5" s="2">
        <v>3</v>
      </c>
    </row>
    <row r="6" spans="1:10" x14ac:dyDescent="0.25">
      <c r="A6" s="2" t="s">
        <v>166</v>
      </c>
      <c r="B6" s="2" t="s">
        <v>162</v>
      </c>
      <c r="D6" s="2" t="s">
        <v>167</v>
      </c>
      <c r="E6" s="2">
        <v>1</v>
      </c>
      <c r="G6" s="2" t="s">
        <v>168</v>
      </c>
      <c r="H6" s="2" t="s">
        <v>160</v>
      </c>
      <c r="I6" s="2">
        <v>-2</v>
      </c>
      <c r="J6" s="2">
        <v>3</v>
      </c>
    </row>
    <row r="7" spans="1:10" x14ac:dyDescent="0.25">
      <c r="A7" s="2" t="s">
        <v>169</v>
      </c>
      <c r="B7" s="2" t="s">
        <v>162</v>
      </c>
      <c r="D7" s="2" t="s">
        <v>170</v>
      </c>
      <c r="E7" s="2">
        <v>1</v>
      </c>
      <c r="G7" s="2" t="s">
        <v>171</v>
      </c>
      <c r="H7" s="2" t="s">
        <v>165</v>
      </c>
      <c r="I7" s="2">
        <v>78</v>
      </c>
      <c r="J7" s="2">
        <v>2</v>
      </c>
    </row>
    <row r="8" spans="1:10" x14ac:dyDescent="0.25">
      <c r="A8" s="2" t="s">
        <v>169</v>
      </c>
      <c r="B8" s="2" t="s">
        <v>162</v>
      </c>
      <c r="D8" s="2" t="s">
        <v>170</v>
      </c>
      <c r="E8" s="2">
        <v>1</v>
      </c>
      <c r="G8" s="2" t="s">
        <v>172</v>
      </c>
      <c r="H8" s="2" t="s">
        <v>165</v>
      </c>
      <c r="I8" s="2">
        <v>44</v>
      </c>
      <c r="J8" s="2">
        <v>2</v>
      </c>
    </row>
    <row r="9" spans="1:10" x14ac:dyDescent="0.25">
      <c r="A9" s="2" t="s">
        <v>169</v>
      </c>
      <c r="B9" s="2" t="s">
        <v>162</v>
      </c>
      <c r="D9" s="2" t="s">
        <v>170</v>
      </c>
      <c r="E9" s="2">
        <v>1</v>
      </c>
      <c r="G9" s="2" t="s">
        <v>159</v>
      </c>
      <c r="H9" s="2" t="s">
        <v>165</v>
      </c>
      <c r="I9" s="2">
        <v>125</v>
      </c>
      <c r="J9" s="2">
        <v>2</v>
      </c>
    </row>
    <row r="10" spans="1:11" x14ac:dyDescent="0.25">
      <c r="A10" s="2" t="s">
        <v>173</v>
      </c>
      <c r="B10" s="2" t="s">
        <v>174</v>
      </c>
      <c r="C10" s="2">
        <v>5</v>
      </c>
      <c r="F10" s="2" t="s">
        <v>163</v>
      </c>
      <c r="G10" s="2" t="s">
        <v>164</v>
      </c>
      <c r="H10" s="2" t="s">
        <v>160</v>
      </c>
      <c r="I10" s="2">
        <v>-5</v>
      </c>
      <c r="J10" s="2">
        <v>3</v>
      </c>
      <c r="K10" s="2" t="s">
        <v>175</v>
      </c>
    </row>
    <row r="11" spans="1:10" x14ac:dyDescent="0.25">
      <c r="A11" s="2" t="s">
        <v>173</v>
      </c>
      <c r="B11" s="2" t="s">
        <v>174</v>
      </c>
      <c r="C11" s="2">
        <v>5</v>
      </c>
      <c r="F11" s="2" t="s">
        <v>163</v>
      </c>
      <c r="G11" s="2" t="s">
        <v>168</v>
      </c>
      <c r="H11" s="2" t="s">
        <v>160</v>
      </c>
      <c r="I11" s="2">
        <v>6</v>
      </c>
      <c r="J11" s="2">
        <v>3</v>
      </c>
    </row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</sheetData>
  <mergeCells count="1">
    <mergeCell ref="A1:K1"/>
  </mergeCells>
  <dataValidations count="14">
    <dataValidation type="list" showErrorMessage="1" errorTitle="Not in the list" error="Choose a value from the list (see the 'Lists' tab)." sqref="B10:B300">
      <formula1>Lists!$M$2:$M$4</formula1>
    </dataValidation>
    <dataValidation type="list" showErrorMessage="1" errorTitle="Not in the list" error="Choose a value from the list (see the 'Lists' tab)." sqref="B3:B300">
      <formula1>Lists!$M$2:$M$4</formula1>
    </dataValidation>
    <dataValidation type="decimal" operator="greaterThanOrEqual" allowBlank="1" showErrorMessage="1" error="Enter a number." sqref="C10:C300">
      <formula1>-100000</formula1>
    </dataValidation>
    <dataValidation type="decimal" operator="greaterThanOrEqual" allowBlank="1" showErrorMessage="1" error="Enter a number." sqref="C3:C300">
      <formula1>-100000</formula1>
    </dataValidation>
    <dataValidation type="decimal" operator="greaterThanOrEqual" allowBlank="1" showErrorMessage="1" error="Enter a number." sqref="E10:E300">
      <formula1>-100000</formula1>
    </dataValidation>
    <dataValidation type="decimal" operator="greaterThanOrEqual" allowBlank="1" showErrorMessage="1" error="Enter a number." sqref="E3:E300">
      <formula1>-100000</formula1>
    </dataValidation>
    <dataValidation type="list" showErrorMessage="1" errorTitle="Not in the list" error="Choose a value from the list (see the 'Lists' tab)." sqref="G10:G300">
      <formula1>Lists!$K$2:$K$7</formula1>
    </dataValidation>
    <dataValidation type="list" showErrorMessage="1" errorTitle="Not in the list" error="Choose a value from the list (see the 'Lists' tab)." sqref="G3:G300">
      <formula1>Lists!$K$2:$K$7</formula1>
    </dataValidation>
    <dataValidation type="list" allowBlank="1" showErrorMessage="1" errorTitle="Not in the list" error="Choose a value from the list (see the 'Lists' tab)." sqref="H10:H300">
      <formula1>Lists!$L$2:$L$3</formula1>
    </dataValidation>
    <dataValidation type="list" allowBlank="1" showErrorMessage="1" errorTitle="Not in the list" error="Choose a value from the list (see the 'Lists' tab)." sqref="H3:H300">
      <formula1>Lists!$L$2:$L$3</formula1>
    </dataValidation>
    <dataValidation type="decimal" operator="greaterThanOrEqual" showErrorMessage="1" error="Enter a number." sqref="I10:I300">
      <formula1>-100000</formula1>
    </dataValidation>
    <dataValidation type="decimal" operator="greaterThanOrEqual" showErrorMessage="1" error="Enter a number." sqref="I3:I300">
      <formula1>-100000</formula1>
    </dataValidation>
    <dataValidation type="decimal" operator="greaterThanOrEqual" allowBlank="1" showErrorMessage="1" error="Enter a number." sqref="J10:J300">
      <formula1>-100000</formula1>
    </dataValidation>
    <dataValidation type="decimal" operator="greaterThanOrEqual" allowBlank="1" showErrorMessage="1" error="Enter a number." sqref="J3:J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4" width="20" customWidth="1"/>
    <col min="5" max="5" width="12" customWidth="1"/>
    <col min="6" max="6" width="11" customWidth="1"/>
    <col min="7" max="8" width="10" customWidth="1"/>
    <col min="9" max="9" width="40" customWidth="1"/>
  </cols>
  <sheetData>
    <row r="1" ht="30" customHeight="1" spans="1:9" x14ac:dyDescent="0.25">
      <c r="A1" s="5" t="s">
        <v>176</v>
      </c>
      <c r="B1" s="5"/>
      <c r="C1" s="5"/>
      <c r="D1" s="5"/>
      <c r="E1" s="5"/>
      <c r="F1" s="5"/>
      <c r="G1" s="5"/>
      <c r="H1" s="5"/>
      <c r="I1" s="5"/>
    </row>
    <row r="2" ht="32" customHeight="1" spans="1:9" x14ac:dyDescent="0.25">
      <c r="A2" s="6" t="s">
        <v>177</v>
      </c>
      <c r="B2" s="6" t="s">
        <v>178</v>
      </c>
      <c r="C2" s="6" t="s">
        <v>109</v>
      </c>
      <c r="D2" s="6" t="s">
        <v>179</v>
      </c>
      <c r="E2" s="6" t="s">
        <v>180</v>
      </c>
      <c r="F2" s="6" t="s">
        <v>181</v>
      </c>
      <c r="G2" s="6" t="s">
        <v>182</v>
      </c>
      <c r="H2" s="6" t="s">
        <v>183</v>
      </c>
      <c r="I2" s="6" t="s">
        <v>51</v>
      </c>
    </row>
    <row r="3" spans="1:9" x14ac:dyDescent="0.25">
      <c r="A3" s="2" t="s">
        <v>184</v>
      </c>
      <c r="B3" s="2" t="s">
        <v>185</v>
      </c>
      <c r="D3" s="2" t="s">
        <v>186</v>
      </c>
      <c r="E3" s="2">
        <v>0.5</v>
      </c>
      <c r="F3" s="2" t="s">
        <v>113</v>
      </c>
      <c r="G3" s="2">
        <v>5</v>
      </c>
      <c r="H3" s="2">
        <v>0</v>
      </c>
      <c r="I3" s="2" t="s">
        <v>187</v>
      </c>
    </row>
    <row r="4" spans="1:8" x14ac:dyDescent="0.25">
      <c r="A4" s="2" t="s">
        <v>188</v>
      </c>
      <c r="B4" s="2" t="s">
        <v>189</v>
      </c>
      <c r="E4" s="2">
        <v>6</v>
      </c>
      <c r="F4" s="2" t="s">
        <v>113</v>
      </c>
      <c r="G4" s="2">
        <v>3</v>
      </c>
      <c r="H4" s="2">
        <v>0</v>
      </c>
    </row>
    <row r="5" spans="1:8" x14ac:dyDescent="0.25">
      <c r="A5" s="2" t="s">
        <v>190</v>
      </c>
      <c r="B5" s="2" t="s">
        <v>137</v>
      </c>
      <c r="E5" s="2">
        <v>4</v>
      </c>
      <c r="F5" s="2" t="s">
        <v>113</v>
      </c>
      <c r="G5" s="2">
        <v>1</v>
      </c>
      <c r="H5" s="2">
        <v>0</v>
      </c>
    </row>
    <row r="6" spans="1:8" x14ac:dyDescent="0.25">
      <c r="A6" s="2" t="s">
        <v>191</v>
      </c>
      <c r="B6" s="2" t="s">
        <v>192</v>
      </c>
      <c r="E6" s="2">
        <v>4</v>
      </c>
      <c r="F6" s="2" t="s">
        <v>113</v>
      </c>
      <c r="G6" s="2">
        <v>1</v>
      </c>
      <c r="H6" s="2">
        <v>0</v>
      </c>
    </row>
    <row r="7" spans="1:8" x14ac:dyDescent="0.25">
      <c r="A7" s="2" t="s">
        <v>193</v>
      </c>
      <c r="B7" s="2" t="s">
        <v>194</v>
      </c>
      <c r="E7" s="2">
        <v>0.5</v>
      </c>
      <c r="F7" s="2" t="s">
        <v>113</v>
      </c>
      <c r="G7" s="2">
        <v>1</v>
      </c>
      <c r="H7" s="2">
        <v>0</v>
      </c>
    </row>
    <row r="8" spans="1:8" x14ac:dyDescent="0.25">
      <c r="A8" s="2" t="s">
        <v>195</v>
      </c>
      <c r="B8" s="2" t="s">
        <v>196</v>
      </c>
      <c r="C8" s="2" t="s">
        <v>197</v>
      </c>
      <c r="E8" s="2">
        <v>3</v>
      </c>
      <c r="F8" s="2" t="s">
        <v>113</v>
      </c>
      <c r="G8" s="2">
        <v>1</v>
      </c>
      <c r="H8" s="2">
        <v>0</v>
      </c>
    </row>
    <row r="9" spans="1:9" x14ac:dyDescent="0.25">
      <c r="A9" s="2" t="s">
        <v>198</v>
      </c>
      <c r="B9" s="2" t="s">
        <v>199</v>
      </c>
      <c r="E9" s="2">
        <v>8</v>
      </c>
      <c r="F9" s="2" t="s">
        <v>133</v>
      </c>
      <c r="G9" s="2">
        <v>0</v>
      </c>
      <c r="H9" s="2">
        <v>1</v>
      </c>
      <c r="I9" s="2" t="s">
        <v>200</v>
      </c>
    </row>
    <row r="10" spans="1:8" x14ac:dyDescent="0.25">
      <c r="A10" s="2" t="s">
        <v>201</v>
      </c>
      <c r="B10" s="2" t="s">
        <v>202</v>
      </c>
      <c r="E10" s="2">
        <v>4</v>
      </c>
      <c r="F10" s="2" t="s">
        <v>133</v>
      </c>
      <c r="G10" s="2">
        <v>0</v>
      </c>
      <c r="H10" s="2">
        <v>1</v>
      </c>
    </row>
    <row r="11" spans="1:8" x14ac:dyDescent="0.25">
      <c r="A11" s="2" t="s">
        <v>203</v>
      </c>
      <c r="B11" s="2" t="s">
        <v>137</v>
      </c>
      <c r="E11" s="2">
        <v>4</v>
      </c>
      <c r="F11" s="2" t="s">
        <v>133</v>
      </c>
      <c r="G11" s="2">
        <v>0</v>
      </c>
      <c r="H11" s="2">
        <v>0.5</v>
      </c>
    </row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</sheetData>
  <mergeCells count="1">
    <mergeCell ref="A1:I1"/>
  </mergeCells>
  <dataValidations count="8">
    <dataValidation type="list" showErrorMessage="1" errorTitle="Not in the list" error="Choose a value from the list (see the 'Lists' tab)." sqref="A10:A300">
      <formula1>Lists!$H$2:$H$20</formula1>
    </dataValidation>
    <dataValidation type="list" showErrorMessage="1" errorTitle="Not in the list" error="Choose a value from the list (see the 'Lists' tab)." sqref="A3:A300">
      <formula1>Lists!$H$2:$H$20</formula1>
    </dataValidation>
    <dataValidation type="decimal" operator="greaterThanOrEqual" showErrorMessage="1" error="Enter a number." sqref="E10:E300">
      <formula1>-100000</formula1>
    </dataValidation>
    <dataValidation type="decimal" operator="greaterThanOrEqual" showErrorMessage="1" error="Enter a number." sqref="E3:E300">
      <formula1>-100000</formula1>
    </dataValidation>
    <dataValidation type="list" showErrorMessage="1" errorTitle="Not in the list" error="Choose a value from the list (see the 'Lists' tab)." sqref="F10:F300">
      <formula1>Lists!$A$2:$A$3</formula1>
    </dataValidation>
    <dataValidation type="list" showErrorMessage="1" errorTitle="Not in the list" error="Choose a value from the list (see the 'Lists' tab)." sqref="F3:F300">
      <formula1>Lists!$A$2:$A$3</formula1>
    </dataValidation>
    <dataValidation type="decimal" operator="greaterThanOrEqual" allowBlank="1" showErrorMessage="1" error="Enter a number." sqref="G10:H300">
      <formula1>-100000</formula1>
    </dataValidation>
    <dataValidation type="decimal" operator="greaterThanOrEqual" allowBlank="1" showErrorMessage="1" error="Enter a number." sqref="G3:H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5" width="12" customWidth="1"/>
  </cols>
  <sheetData>
    <row r="1" ht="30" customHeight="1" spans="1:5" x14ac:dyDescent="0.25">
      <c r="A1" s="5" t="s">
        <v>204</v>
      </c>
      <c r="B1" s="5"/>
      <c r="C1" s="5"/>
      <c r="D1" s="5"/>
      <c r="E1" s="5"/>
    </row>
    <row r="2" ht="32" customHeight="1" spans="1:5" x14ac:dyDescent="0.25">
      <c r="A2" s="6" t="s">
        <v>177</v>
      </c>
      <c r="B2" s="6" t="s">
        <v>33</v>
      </c>
      <c r="C2" s="6" t="s">
        <v>154</v>
      </c>
      <c r="D2" s="6" t="s">
        <v>205</v>
      </c>
      <c r="E2" s="6" t="s">
        <v>206</v>
      </c>
    </row>
    <row r="3" spans="1:5" x14ac:dyDescent="0.25">
      <c r="A3" s="2" t="s">
        <v>188</v>
      </c>
      <c r="B3" s="2" t="s">
        <v>207</v>
      </c>
      <c r="C3" s="2" t="s">
        <v>208</v>
      </c>
      <c r="D3" s="2" t="s">
        <v>209</v>
      </c>
      <c r="E3" s="2" t="s">
        <v>210</v>
      </c>
    </row>
    <row r="4" spans="1:5" x14ac:dyDescent="0.25">
      <c r="A4" s="2" t="s">
        <v>190</v>
      </c>
      <c r="B4" s="2" t="s">
        <v>211</v>
      </c>
      <c r="C4" s="2" t="s">
        <v>212</v>
      </c>
      <c r="D4" s="2" t="s">
        <v>213</v>
      </c>
      <c r="E4" s="2" t="s">
        <v>214</v>
      </c>
    </row>
    <row r="5" spans="1:5" x14ac:dyDescent="0.25">
      <c r="A5" s="2" t="s">
        <v>191</v>
      </c>
      <c r="B5" s="2" t="s">
        <v>215</v>
      </c>
      <c r="C5" s="2" t="s">
        <v>216</v>
      </c>
      <c r="D5" s="2" t="s">
        <v>217</v>
      </c>
      <c r="E5" s="2" t="s">
        <v>214</v>
      </c>
    </row>
    <row r="6" spans="1:5" x14ac:dyDescent="0.25">
      <c r="A6" s="2" t="s">
        <v>191</v>
      </c>
      <c r="B6" s="2" t="s">
        <v>218</v>
      </c>
      <c r="C6" s="2" t="s">
        <v>219</v>
      </c>
      <c r="D6" s="2" t="s">
        <v>220</v>
      </c>
      <c r="E6" s="2" t="s">
        <v>214</v>
      </c>
    </row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  <row r="201" spans="1:5" x14ac:dyDescent="0.25"/>
    <row r="202" spans="1:5" x14ac:dyDescent="0.25"/>
    <row r="203" spans="1:5" x14ac:dyDescent="0.25"/>
    <row r="204" spans="1:5" x14ac:dyDescent="0.25"/>
    <row r="205" spans="1:5" x14ac:dyDescent="0.25"/>
    <row r="206" spans="1:5" x14ac:dyDescent="0.25"/>
    <row r="207" spans="1:5" x14ac:dyDescent="0.25"/>
    <row r="208" spans="1:5" x14ac:dyDescent="0.25"/>
    <row r="209" spans="1:5" x14ac:dyDescent="0.25"/>
    <row r="210" spans="1:5" x14ac:dyDescent="0.25"/>
    <row r="211" spans="1:5" x14ac:dyDescent="0.25"/>
    <row r="212" spans="1:5" x14ac:dyDescent="0.25"/>
    <row r="213" spans="1:5" x14ac:dyDescent="0.25"/>
    <row r="214" spans="1:5" x14ac:dyDescent="0.25"/>
    <row r="215" spans="1:5" x14ac:dyDescent="0.25"/>
    <row r="216" spans="1:5" x14ac:dyDescent="0.25"/>
    <row r="217" spans="1:5" x14ac:dyDescent="0.25"/>
    <row r="218" spans="1:5" x14ac:dyDescent="0.25"/>
    <row r="219" spans="1:5" x14ac:dyDescent="0.25"/>
    <row r="220" spans="1:5" x14ac:dyDescent="0.25"/>
    <row r="221" spans="1:5" x14ac:dyDescent="0.25"/>
    <row r="222" spans="1:5" x14ac:dyDescent="0.25"/>
    <row r="223" spans="1:5" x14ac:dyDescent="0.25"/>
    <row r="224" spans="1:5" x14ac:dyDescent="0.25"/>
    <row r="225" spans="1:5" x14ac:dyDescent="0.25"/>
    <row r="226" spans="1:5" x14ac:dyDescent="0.25"/>
    <row r="227" spans="1:5" x14ac:dyDescent="0.25"/>
    <row r="228" spans="1:5" x14ac:dyDescent="0.25"/>
    <row r="229" spans="1:5" x14ac:dyDescent="0.25"/>
    <row r="230" spans="1:5" x14ac:dyDescent="0.25"/>
    <row r="231" spans="1:5" x14ac:dyDescent="0.25"/>
    <row r="232" spans="1:5" x14ac:dyDescent="0.25"/>
    <row r="233" spans="1:5" x14ac:dyDescent="0.25"/>
    <row r="234" spans="1:5" x14ac:dyDescent="0.25"/>
    <row r="235" spans="1:5" x14ac:dyDescent="0.25"/>
    <row r="236" spans="1:5" x14ac:dyDescent="0.25"/>
    <row r="237" spans="1:5" x14ac:dyDescent="0.25"/>
    <row r="238" spans="1:5" x14ac:dyDescent="0.25"/>
    <row r="239" spans="1:5" x14ac:dyDescent="0.25"/>
    <row r="240" spans="1:5" x14ac:dyDescent="0.25"/>
    <row r="241" spans="1:5" x14ac:dyDescent="0.25"/>
    <row r="242" spans="1:5" x14ac:dyDescent="0.25"/>
    <row r="243" spans="1:5" x14ac:dyDescent="0.25"/>
    <row r="244" spans="1:5" x14ac:dyDescent="0.25"/>
    <row r="245" spans="1:5" x14ac:dyDescent="0.25"/>
    <row r="246" spans="1:5" x14ac:dyDescent="0.25"/>
    <row r="247" spans="1:5" x14ac:dyDescent="0.25"/>
    <row r="248" spans="1:5" x14ac:dyDescent="0.25"/>
    <row r="249" spans="1:5" x14ac:dyDescent="0.25"/>
    <row r="250" spans="1:5" x14ac:dyDescent="0.25"/>
    <row r="251" spans="1:5" x14ac:dyDescent="0.25"/>
    <row r="252" spans="1:5" x14ac:dyDescent="0.25"/>
    <row r="253" spans="1:5" x14ac:dyDescent="0.25"/>
    <row r="254" spans="1:5" x14ac:dyDescent="0.25"/>
    <row r="255" spans="1:5" x14ac:dyDescent="0.25"/>
    <row r="256" spans="1:5" x14ac:dyDescent="0.25"/>
    <row r="257" spans="1:5" x14ac:dyDescent="0.25"/>
    <row r="258" spans="1:5" x14ac:dyDescent="0.25"/>
    <row r="259" spans="1:5" x14ac:dyDescent="0.25"/>
    <row r="260" spans="1:5" x14ac:dyDescent="0.25"/>
    <row r="261" spans="1:5" x14ac:dyDescent="0.25"/>
    <row r="262" spans="1:5" x14ac:dyDescent="0.25"/>
    <row r="263" spans="1:5" x14ac:dyDescent="0.25"/>
    <row r="264" spans="1:5" x14ac:dyDescent="0.25"/>
    <row r="265" spans="1:5" x14ac:dyDescent="0.25"/>
    <row r="266" spans="1:5" x14ac:dyDescent="0.25"/>
    <row r="267" spans="1:5" x14ac:dyDescent="0.25"/>
    <row r="268" spans="1:5" x14ac:dyDescent="0.25"/>
    <row r="269" spans="1:5" x14ac:dyDescent="0.25"/>
    <row r="270" spans="1:5" x14ac:dyDescent="0.25"/>
    <row r="271" spans="1:5" x14ac:dyDescent="0.25"/>
    <row r="272" spans="1:5" x14ac:dyDescent="0.25"/>
    <row r="273" spans="1:5" x14ac:dyDescent="0.25"/>
    <row r="274" spans="1:5" x14ac:dyDescent="0.25"/>
    <row r="275" spans="1:5" x14ac:dyDescent="0.25"/>
    <row r="276" spans="1:5" x14ac:dyDescent="0.25"/>
    <row r="277" spans="1:5" x14ac:dyDescent="0.25"/>
    <row r="278" spans="1:5" x14ac:dyDescent="0.25"/>
    <row r="279" spans="1:5" x14ac:dyDescent="0.25"/>
    <row r="280" spans="1:5" x14ac:dyDescent="0.25"/>
    <row r="281" spans="1:5" x14ac:dyDescent="0.25"/>
    <row r="282" spans="1:5" x14ac:dyDescent="0.25"/>
    <row r="283" spans="1:5" x14ac:dyDescent="0.25"/>
    <row r="284" spans="1:5" x14ac:dyDescent="0.25"/>
    <row r="285" spans="1:5" x14ac:dyDescent="0.25"/>
    <row r="286" spans="1:5" x14ac:dyDescent="0.25"/>
    <row r="287" spans="1:5" x14ac:dyDescent="0.25"/>
    <row r="288" spans="1:5" x14ac:dyDescent="0.25"/>
    <row r="289" spans="1:5" x14ac:dyDescent="0.25"/>
    <row r="290" spans="1:5" x14ac:dyDescent="0.25"/>
    <row r="291" spans="1:5" x14ac:dyDescent="0.25"/>
    <row r="292" spans="1:5" x14ac:dyDescent="0.25"/>
    <row r="293" spans="1:5" x14ac:dyDescent="0.25"/>
    <row r="294" spans="1:5" x14ac:dyDescent="0.25"/>
    <row r="295" spans="1:5" x14ac:dyDescent="0.25"/>
    <row r="296" spans="1:5" x14ac:dyDescent="0.25"/>
    <row r="297" spans="1:5" x14ac:dyDescent="0.25"/>
    <row r="298" spans="1:5" x14ac:dyDescent="0.25"/>
    <row r="299" spans="1:5" x14ac:dyDescent="0.25"/>
    <row r="300" spans="1:5" x14ac:dyDescent="0.25"/>
  </sheetData>
  <mergeCells count="1">
    <mergeCell ref="A1:E1"/>
  </mergeCells>
  <dataValidations count="4">
    <dataValidation type="list" showErrorMessage="1" errorTitle="Not in the list" error="Choose a value from the list (see the 'Lists' tab)." sqref="A10:A300">
      <formula1>Lists!$H$2:$H$20</formula1>
    </dataValidation>
    <dataValidation type="list" showErrorMessage="1" errorTitle="Not in the list" error="Choose a value from the list (see the 'Lists' tab)." sqref="A3:A300">
      <formula1>Lists!$H$2:$H$20</formula1>
    </dataValidation>
    <dataValidation type="list" allowBlank="1" showErrorMessage="1" errorTitle="Not in the list" error="Choose a value from the list (see the 'Lists' tab)." sqref="E10:E300">
      <formula1>Lists!$P$2:$P$5</formula1>
    </dataValidation>
    <dataValidation type="list" allowBlank="1" showErrorMessage="1" errorTitle="Not in the list" error="Choose a value from the list (see the 'Lists' tab)." sqref="E3:E300">
      <formula1>Lists!$P$2:$P$5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10" customWidth="1"/>
    <col min="4" max="4" width="12" customWidth="1"/>
    <col min="5" max="5" width="44" customWidth="1"/>
  </cols>
  <sheetData>
    <row r="1" ht="30" customHeight="1" spans="1:5" x14ac:dyDescent="0.25">
      <c r="A1" s="5" t="s">
        <v>221</v>
      </c>
      <c r="B1" s="5"/>
      <c r="C1" s="5"/>
      <c r="D1" s="5"/>
      <c r="E1" s="5"/>
    </row>
    <row r="2" ht="32" customHeight="1" spans="1:5" x14ac:dyDescent="0.25">
      <c r="A2" s="6" t="s">
        <v>45</v>
      </c>
      <c r="B2" s="6" t="s">
        <v>222</v>
      </c>
      <c r="C2" s="6" t="s">
        <v>223</v>
      </c>
      <c r="D2" s="6" t="s">
        <v>224</v>
      </c>
      <c r="E2" s="6" t="s">
        <v>225</v>
      </c>
    </row>
    <row r="3" spans="1:5" x14ac:dyDescent="0.25">
      <c r="A3" s="2" t="s">
        <v>226</v>
      </c>
      <c r="B3" s="2" t="s">
        <v>227</v>
      </c>
      <c r="C3" s="2" t="s">
        <v>113</v>
      </c>
      <c r="D3" s="2">
        <v>10</v>
      </c>
      <c r="E3" s="2" t="s">
        <v>228</v>
      </c>
    </row>
    <row r="4" spans="1:4" x14ac:dyDescent="0.25">
      <c r="A4" s="2" t="s">
        <v>229</v>
      </c>
      <c r="B4" s="2" t="s">
        <v>230</v>
      </c>
      <c r="C4" s="2" t="s">
        <v>133</v>
      </c>
    </row>
    <row r="5" spans="1:4" x14ac:dyDescent="0.25">
      <c r="A5" s="2" t="s">
        <v>231</v>
      </c>
      <c r="B5" s="2" t="s">
        <v>232</v>
      </c>
      <c r="C5" s="2" t="s">
        <v>133</v>
      </c>
    </row>
    <row r="6" spans="1:4" x14ac:dyDescent="0.25">
      <c r="A6" s="2" t="s">
        <v>233</v>
      </c>
      <c r="B6" s="2" t="s">
        <v>234</v>
      </c>
      <c r="C6" s="2" t="s">
        <v>133</v>
      </c>
      <c r="D6" s="2">
        <v>4</v>
      </c>
    </row>
    <row r="7" spans="1:4" x14ac:dyDescent="0.25">
      <c r="A7" s="2" t="s">
        <v>235</v>
      </c>
      <c r="B7" s="2" t="s">
        <v>236</v>
      </c>
      <c r="C7" s="2" t="s">
        <v>133</v>
      </c>
    </row>
    <row r="8" spans="1:4" x14ac:dyDescent="0.25">
      <c r="A8" s="2" t="s">
        <v>237</v>
      </c>
      <c r="B8" s="2" t="s">
        <v>238</v>
      </c>
      <c r="C8" s="2" t="s">
        <v>133</v>
      </c>
      <c r="D8" s="2">
        <v>2</v>
      </c>
    </row>
    <row r="9" spans="1:4" x14ac:dyDescent="0.25">
      <c r="A9" s="2" t="s">
        <v>239</v>
      </c>
      <c r="B9" s="2" t="s">
        <v>240</v>
      </c>
      <c r="C9" s="2" t="s">
        <v>133</v>
      </c>
    </row>
    <row r="10" spans="1:4" x14ac:dyDescent="0.25">
      <c r="A10" s="2" t="s">
        <v>241</v>
      </c>
      <c r="B10" s="2" t="s">
        <v>242</v>
      </c>
      <c r="C10" s="2" t="s">
        <v>133</v>
      </c>
    </row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</sheetData>
  <mergeCells count="1">
    <mergeCell ref="A1:E1"/>
  </mergeCells>
  <dataValidations count="4">
    <dataValidation type="list" allowBlank="1" showErrorMessage="1" errorTitle="Not in the list" error="Choose a value from the list (see the 'Lists' tab)." sqref="C10:C300">
      <formula1>Lists!$A$2:$A$3</formula1>
    </dataValidation>
    <dataValidation type="list" allowBlank="1" showErrorMessage="1" errorTitle="Not in the list" error="Choose a value from the list (see the 'Lists' tab)." sqref="C3:C300">
      <formula1>Lists!$A$2:$A$3</formula1>
    </dataValidation>
    <dataValidation type="decimal" operator="greaterThanOrEqual" allowBlank="1" showErrorMessage="1" error="Enter a number." sqref="D10:D300">
      <formula1>-100000</formula1>
    </dataValidation>
    <dataValidation type="decimal" operator="greaterThanOrEqual" allowBlank="1" showErrorMessage="1" error="Enter a number." sqref="D3:D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0" customWidth="1"/>
    <col min="6" max="6" width="11" customWidth="1"/>
    <col min="7" max="7" width="44" customWidth="1"/>
  </cols>
  <sheetData>
    <row r="1" ht="30" customHeight="1" spans="1:7" x14ac:dyDescent="0.25">
      <c r="A1" s="5" t="s">
        <v>243</v>
      </c>
      <c r="B1" s="5"/>
      <c r="C1" s="5"/>
      <c r="D1" s="5"/>
      <c r="E1" s="5"/>
      <c r="F1" s="5"/>
      <c r="G1" s="5"/>
    </row>
    <row r="2" ht="32" customHeight="1" spans="1:7" x14ac:dyDescent="0.25">
      <c r="A2" s="6" t="s">
        <v>244</v>
      </c>
      <c r="B2" s="6" t="s">
        <v>245</v>
      </c>
      <c r="C2" s="6" t="s">
        <v>246</v>
      </c>
      <c r="D2" s="6" t="s">
        <v>247</v>
      </c>
      <c r="E2" s="6" t="s">
        <v>248</v>
      </c>
      <c r="F2" s="6" t="s">
        <v>249</v>
      </c>
      <c r="G2" s="6" t="s">
        <v>51</v>
      </c>
    </row>
    <row r="3" spans="1:7" x14ac:dyDescent="0.25">
      <c r="A3" s="2" t="s">
        <v>250</v>
      </c>
      <c r="B3" s="2" t="s">
        <v>251</v>
      </c>
      <c r="C3" s="2">
        <v>5</v>
      </c>
      <c r="D3" s="2">
        <v>10</v>
      </c>
      <c r="E3" s="2">
        <v>2</v>
      </c>
      <c r="F3" s="2" t="s">
        <v>133</v>
      </c>
      <c r="G3" s="2" t="s">
        <v>252</v>
      </c>
    </row>
    <row r="4" spans="1:6" x14ac:dyDescent="0.25">
      <c r="A4" s="2" t="s">
        <v>253</v>
      </c>
      <c r="B4" s="2" t="s">
        <v>251</v>
      </c>
      <c r="C4" s="2">
        <v>3</v>
      </c>
      <c r="E4" s="2">
        <v>0</v>
      </c>
      <c r="F4" s="2" t="s">
        <v>133</v>
      </c>
    </row>
    <row r="5" spans="1:7" x14ac:dyDescent="0.25">
      <c r="A5" s="2" t="s">
        <v>163</v>
      </c>
      <c r="B5" s="2" t="s">
        <v>251</v>
      </c>
      <c r="C5" s="2">
        <v>3</v>
      </c>
      <c r="E5" s="2">
        <v>0</v>
      </c>
      <c r="F5" s="2" t="s">
        <v>133</v>
      </c>
      <c r="G5" s="2" t="s">
        <v>254</v>
      </c>
    </row>
    <row r="6" spans="1:6" x14ac:dyDescent="0.25">
      <c r="A6" s="2" t="s">
        <v>167</v>
      </c>
      <c r="B6" s="2" t="s">
        <v>255</v>
      </c>
      <c r="C6" s="2">
        <v>2</v>
      </c>
      <c r="E6" s="2">
        <v>0</v>
      </c>
      <c r="F6" s="2" t="s">
        <v>133</v>
      </c>
    </row>
    <row r="7" spans="1:6" x14ac:dyDescent="0.25">
      <c r="A7" s="2" t="s">
        <v>256</v>
      </c>
      <c r="B7" s="2" t="s">
        <v>255</v>
      </c>
      <c r="C7" s="2">
        <v>1</v>
      </c>
      <c r="E7" s="2">
        <v>0</v>
      </c>
      <c r="F7" s="2" t="s">
        <v>133</v>
      </c>
    </row>
    <row r="8" spans="1:6" x14ac:dyDescent="0.25">
      <c r="A8" s="2" t="s">
        <v>257</v>
      </c>
      <c r="B8" s="2" t="s">
        <v>251</v>
      </c>
      <c r="C8" s="2">
        <v>1</v>
      </c>
      <c r="E8" s="2">
        <v>0</v>
      </c>
      <c r="F8" s="2" t="s">
        <v>133</v>
      </c>
    </row>
    <row r="9" spans="1:6" x14ac:dyDescent="0.25">
      <c r="A9" s="2" t="s">
        <v>258</v>
      </c>
      <c r="B9" s="2" t="s">
        <v>251</v>
      </c>
      <c r="C9" s="2">
        <v>1</v>
      </c>
      <c r="E9" s="2">
        <v>0</v>
      </c>
      <c r="F9" s="2" t="s">
        <v>133</v>
      </c>
    </row>
    <row r="10" spans="1:7" x14ac:dyDescent="0.25">
      <c r="A10" s="2" t="s">
        <v>259</v>
      </c>
      <c r="B10" s="2" t="s">
        <v>251</v>
      </c>
      <c r="C10" s="2">
        <v>5</v>
      </c>
      <c r="D10" s="2">
        <v>15</v>
      </c>
      <c r="E10" s="2">
        <v>2</v>
      </c>
      <c r="F10" s="2" t="s">
        <v>133</v>
      </c>
      <c r="G10" s="2" t="s">
        <v>260</v>
      </c>
    </row>
    <row r="11" spans="1:6" x14ac:dyDescent="0.25">
      <c r="A11" s="2" t="s">
        <v>261</v>
      </c>
      <c r="B11" s="2" t="s">
        <v>255</v>
      </c>
      <c r="C11" s="2">
        <v>1</v>
      </c>
      <c r="E11" s="2">
        <v>0</v>
      </c>
      <c r="F11" s="2" t="s">
        <v>133</v>
      </c>
    </row>
    <row r="12" spans="1:7" x14ac:dyDescent="0.25">
      <c r="A12" s="2" t="s">
        <v>170</v>
      </c>
      <c r="B12" s="2" t="s">
        <v>262</v>
      </c>
      <c r="C12" s="2">
        <v>10</v>
      </c>
      <c r="E12" s="2">
        <v>0</v>
      </c>
      <c r="F12" s="2" t="s">
        <v>113</v>
      </c>
      <c r="G12" s="2" t="s">
        <v>263</v>
      </c>
    </row>
    <row r="13" spans="1:7" x14ac:dyDescent="0.25">
      <c r="A13" s="2" t="s">
        <v>264</v>
      </c>
      <c r="B13" s="2" t="s">
        <v>262</v>
      </c>
      <c r="C13" s="2">
        <v>5</v>
      </c>
      <c r="E13" s="2">
        <v>0</v>
      </c>
      <c r="F13" s="2" t="s">
        <v>133</v>
      </c>
      <c r="G13" s="2" t="s">
        <v>265</v>
      </c>
    </row>
    <row r="14" spans="1:6" x14ac:dyDescent="0.25">
      <c r="A14" s="2" t="s">
        <v>266</v>
      </c>
      <c r="B14" s="2" t="s">
        <v>262</v>
      </c>
      <c r="C14" s="2">
        <v>10</v>
      </c>
      <c r="E14" s="2">
        <v>0</v>
      </c>
      <c r="F14" s="2" t="s">
        <v>113</v>
      </c>
    </row>
    <row r="15" spans="1:6" x14ac:dyDescent="0.25">
      <c r="A15" s="2" t="s">
        <v>267</v>
      </c>
      <c r="B15" s="2" t="s">
        <v>268</v>
      </c>
      <c r="C15" s="2">
        <v>0</v>
      </c>
      <c r="E15" s="2">
        <v>0</v>
      </c>
      <c r="F15" s="2" t="s">
        <v>133</v>
      </c>
    </row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</sheetData>
  <mergeCells count="1">
    <mergeCell ref="A1:G1"/>
  </mergeCells>
  <dataValidations count="8">
    <dataValidation type="list" showErrorMessage="1" errorTitle="Not in the list" error="Choose a value from the list (see the 'Lists' tab)." sqref="A10:A300">
      <formula1>Lists!$I$2:$I$29</formula1>
    </dataValidation>
    <dataValidation type="list" showErrorMessage="1" errorTitle="Not in the list" error="Choose a value from the list (see the 'Lists' tab)." sqref="A3:A300">
      <formula1>Lists!$I$2:$I$29</formula1>
    </dataValidation>
    <dataValidation type="list" showErrorMessage="1" errorTitle="Not in the list" error="Choose a value from the list (see the 'Lists' tab)." sqref="B10:B300">
      <formula1>Lists!$J$2:$J$5</formula1>
    </dataValidation>
    <dataValidation type="list" showErrorMessage="1" errorTitle="Not in the list" error="Choose a value from the list (see the 'Lists' tab)." sqref="B3:B300">
      <formula1>Lists!$J$2:$J$5</formula1>
    </dataValidation>
    <dataValidation type="decimal" operator="greaterThanOrEqual" allowBlank="1" showErrorMessage="1" error="Enter a number." sqref="C10:E300">
      <formula1>-100000</formula1>
    </dataValidation>
    <dataValidation type="decimal" operator="greaterThanOrEqual" allowBlank="1" showErrorMessage="1" error="Enter a number." sqref="C3:E300">
      <formula1>-100000</formula1>
    </dataValidation>
    <dataValidation type="list" allowBlank="1" showErrorMessage="1" errorTitle="Not in the list" error="Choose a value from the list (see the 'Lists' tab)." sqref="F10:F300">
      <formula1>Lists!$A$2:$A$3</formula1>
    </dataValidation>
    <dataValidation type="list" allowBlank="1" showErrorMessage="1" errorTitle="Not in the list" error="Choose a value from the list (see the 'Lists' tab)." sqref="F3:F300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44" customWidth="1"/>
  </cols>
  <sheetData>
    <row r="1" ht="30" customHeight="1" spans="1:3" x14ac:dyDescent="0.25">
      <c r="A1" s="5" t="s">
        <v>269</v>
      </c>
      <c r="B1" s="5"/>
      <c r="C1" s="5"/>
    </row>
    <row r="2" ht="32" customHeight="1" spans="1:3" x14ac:dyDescent="0.25">
      <c r="A2" s="6" t="s">
        <v>270</v>
      </c>
      <c r="B2" s="6" t="s">
        <v>271</v>
      </c>
      <c r="C2" s="6" t="s">
        <v>272</v>
      </c>
    </row>
    <row r="3" spans="1:3" x14ac:dyDescent="0.25">
      <c r="A3" s="2" t="s">
        <v>273</v>
      </c>
      <c r="B3" s="2">
        <v>1</v>
      </c>
      <c r="C3" s="2" t="s">
        <v>274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</sheetData>
  <mergeCells count="1">
    <mergeCell ref="A1:C1"/>
  </mergeCells>
  <dataValidations count="2">
    <dataValidation type="decimal" operator="greaterThanOrEqual" showErrorMessage="1" error="Enter a number." sqref="B10:B300">
      <formula1>-100000</formula1>
    </dataValidation>
    <dataValidation type="decimal" operator="greaterThanOrEqual" showErrorMessage="1" error="Enter a number." sqref="B3:B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8" customWidth="1"/>
    <col min="5" max="5" width="12" customWidth="1"/>
    <col min="6" max="6" width="50" customWidth="1"/>
    <col min="8" max="8" width="40" customWidth="1"/>
  </cols>
  <sheetData>
    <row r="1" ht="30" customHeight="1" spans="1:8" x14ac:dyDescent="0.25">
      <c r="A1" s="5" t="s">
        <v>275</v>
      </c>
      <c r="B1" s="5"/>
      <c r="C1" s="5"/>
      <c r="D1" s="5"/>
      <c r="E1" s="5"/>
      <c r="F1" s="5"/>
      <c r="G1" s="5"/>
      <c r="H1" s="5"/>
    </row>
    <row r="2" ht="32" customHeight="1" spans="1:8" x14ac:dyDescent="0.25">
      <c r="A2" s="6" t="s">
        <v>276</v>
      </c>
      <c r="B2" s="6" t="s">
        <v>277</v>
      </c>
      <c r="C2" s="6" t="s">
        <v>278</v>
      </c>
      <c r="D2" s="6" t="s">
        <v>279</v>
      </c>
      <c r="E2" s="6" t="s">
        <v>147</v>
      </c>
      <c r="F2" s="6" t="s">
        <v>47</v>
      </c>
      <c r="G2" s="6" t="s">
        <v>280</v>
      </c>
      <c r="H2" s="6" t="s">
        <v>51</v>
      </c>
    </row>
    <row r="3" spans="1:8" x14ac:dyDescent="0.25">
      <c r="A3" s="2" t="s">
        <v>281</v>
      </c>
      <c r="B3" s="2" t="s">
        <v>162</v>
      </c>
      <c r="D3" s="2" t="s">
        <v>184</v>
      </c>
      <c r="E3" s="2" t="s">
        <v>282</v>
      </c>
      <c r="F3" s="2" t="s">
        <v>283</v>
      </c>
      <c r="G3" s="2">
        <v>2</v>
      </c>
      <c r="H3" s="2" t="s">
        <v>284</v>
      </c>
    </row>
    <row r="4" spans="1:7" x14ac:dyDescent="0.25">
      <c r="A4" s="2" t="s">
        <v>285</v>
      </c>
      <c r="B4" s="2" t="s">
        <v>286</v>
      </c>
      <c r="E4" s="2" t="s">
        <v>287</v>
      </c>
      <c r="F4" s="2" t="s">
        <v>288</v>
      </c>
      <c r="G4" s="2">
        <v>3</v>
      </c>
    </row>
    <row r="5" spans="1:7" x14ac:dyDescent="0.25">
      <c r="A5" s="2" t="s">
        <v>289</v>
      </c>
      <c r="B5" s="2" t="s">
        <v>290</v>
      </c>
      <c r="C5" s="2">
        <v>12</v>
      </c>
      <c r="E5" s="2" t="s">
        <v>291</v>
      </c>
      <c r="F5" s="2" t="s">
        <v>292</v>
      </c>
      <c r="G5" s="2">
        <v>2</v>
      </c>
    </row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</sheetData>
  <mergeCells count="1">
    <mergeCell ref="A1:H1"/>
  </mergeCells>
  <dataValidations count="8">
    <dataValidation type="list" showErrorMessage="1" errorTitle="Not in the list" error="Choose a value from the list (see the 'Lists' tab)." sqref="B10:B300">
      <formula1>Lists!$N$2:$N$4</formula1>
    </dataValidation>
    <dataValidation type="list" showErrorMessage="1" errorTitle="Not in the list" error="Choose a value from the list (see the 'Lists' tab)." sqref="B3:B300">
      <formula1>Lists!$N$2:$N$4</formula1>
    </dataValidation>
    <dataValidation type="decimal" operator="greaterThanOrEqual" allowBlank="1" showErrorMessage="1" error="Enter a number." sqref="C10:C300">
      <formula1>-100000</formula1>
    </dataValidation>
    <dataValidation type="decimal" operator="greaterThanOrEqual" allowBlank="1" showErrorMessage="1" error="Enter a number." sqref="C3:C300">
      <formula1>-100000</formula1>
    </dataValidation>
    <dataValidation type="list" showErrorMessage="1" errorTitle="Not in the list" error="Choose a value from the list (see the 'Lists' tab)." sqref="E10:E300">
      <formula1>Lists!$O$2:$O$4</formula1>
    </dataValidation>
    <dataValidation type="list" showErrorMessage="1" errorTitle="Not in the list" error="Choose a value from the list (see the 'Lists' tab)." sqref="E3:E300">
      <formula1>Lists!$O$2:$O$4</formula1>
    </dataValidation>
    <dataValidation type="decimal" operator="greaterThanOrEqual" showErrorMessage="1" error="Enter a number." sqref="G10:G300">
      <formula1>-100000</formula1>
    </dataValidation>
    <dataValidation type="decimal" operator="greaterThanOrEqual" showErrorMessage="1" error="Enter a number." sqref="G3:G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4" customWidth="1"/>
    <col min="4" max="4" width="10" customWidth="1"/>
  </cols>
  <sheetData>
    <row r="1" ht="30" customHeight="1" spans="1:4" x14ac:dyDescent="0.25">
      <c r="A1" s="5" t="s">
        <v>293</v>
      </c>
      <c r="B1" s="5"/>
      <c r="C1" s="5"/>
      <c r="D1" s="5"/>
    </row>
    <row r="2" ht="32" customHeight="1" spans="1:4" x14ac:dyDescent="0.25">
      <c r="A2" s="6" t="s">
        <v>276</v>
      </c>
      <c r="B2" s="6" t="s">
        <v>294</v>
      </c>
      <c r="C2" s="6" t="s">
        <v>295</v>
      </c>
      <c r="D2" s="6" t="s">
        <v>223</v>
      </c>
    </row>
    <row r="3" spans="1:4" x14ac:dyDescent="0.25">
      <c r="A3" s="2" t="s">
        <v>281</v>
      </c>
      <c r="B3" s="2" t="s">
        <v>296</v>
      </c>
      <c r="C3" s="2" t="s">
        <v>297</v>
      </c>
      <c r="D3" s="2" t="s">
        <v>133</v>
      </c>
    </row>
    <row r="4" spans="1:4" x14ac:dyDescent="0.25">
      <c r="A4" s="2" t="s">
        <v>281</v>
      </c>
      <c r="B4" s="2" t="s">
        <v>298</v>
      </c>
      <c r="C4" s="2" t="s">
        <v>299</v>
      </c>
      <c r="D4" s="2" t="s">
        <v>113</v>
      </c>
    </row>
    <row r="5" spans="1:4" x14ac:dyDescent="0.25">
      <c r="A5" s="2" t="s">
        <v>281</v>
      </c>
      <c r="B5" s="2" t="s">
        <v>300</v>
      </c>
      <c r="C5" s="2" t="s">
        <v>301</v>
      </c>
      <c r="D5" s="2" t="s">
        <v>133</v>
      </c>
    </row>
    <row r="6" spans="1:4" x14ac:dyDescent="0.25">
      <c r="A6" s="2" t="s">
        <v>285</v>
      </c>
      <c r="B6" s="2" t="s">
        <v>302</v>
      </c>
      <c r="C6" s="2" t="s">
        <v>303</v>
      </c>
      <c r="D6" s="2" t="s">
        <v>113</v>
      </c>
    </row>
    <row r="7" spans="1:4" x14ac:dyDescent="0.25">
      <c r="A7" s="2" t="s">
        <v>285</v>
      </c>
      <c r="B7" s="2" t="s">
        <v>304</v>
      </c>
      <c r="C7" s="2" t="s">
        <v>305</v>
      </c>
      <c r="D7" s="2" t="s">
        <v>113</v>
      </c>
    </row>
    <row r="8" spans="1:4" x14ac:dyDescent="0.25">
      <c r="A8" s="2" t="s">
        <v>285</v>
      </c>
      <c r="B8" s="2" t="s">
        <v>306</v>
      </c>
      <c r="C8" s="2" t="s">
        <v>307</v>
      </c>
      <c r="D8" s="2" t="s">
        <v>113</v>
      </c>
    </row>
    <row r="9" spans="1:4" x14ac:dyDescent="0.25">
      <c r="A9" s="2" t="s">
        <v>285</v>
      </c>
      <c r="B9" s="2" t="s">
        <v>308</v>
      </c>
      <c r="C9" s="2" t="s">
        <v>309</v>
      </c>
      <c r="D9" s="2" t="s">
        <v>133</v>
      </c>
    </row>
    <row r="10" spans="1:4" x14ac:dyDescent="0.25">
      <c r="A10" s="2" t="s">
        <v>289</v>
      </c>
      <c r="B10" s="2" t="s">
        <v>310</v>
      </c>
      <c r="C10" s="2" t="s">
        <v>311</v>
      </c>
      <c r="D10" s="2" t="s">
        <v>133</v>
      </c>
    </row>
    <row r="11" spans="1:4" x14ac:dyDescent="0.25">
      <c r="A11" s="2" t="s">
        <v>289</v>
      </c>
      <c r="B11" s="2" t="s">
        <v>312</v>
      </c>
      <c r="C11" s="2" t="s">
        <v>313</v>
      </c>
      <c r="D11" s="2" t="s">
        <v>113</v>
      </c>
    </row>
    <row r="12" spans="1:4" x14ac:dyDescent="0.25">
      <c r="A12" s="2" t="s">
        <v>289</v>
      </c>
      <c r="B12" s="2" t="s">
        <v>314</v>
      </c>
      <c r="C12" s="2" t="s">
        <v>315</v>
      </c>
      <c r="D12" s="2" t="s">
        <v>133</v>
      </c>
    </row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</sheetData>
  <mergeCells count="1">
    <mergeCell ref="A1:D1"/>
  </mergeCells>
  <dataValidations count="2">
    <dataValidation type="list" allowBlank="1" showErrorMessage="1" errorTitle="Not in the list" error="Choose a value from the list (see the 'Lists' tab)." sqref="D10:D300">
      <formula1>Lists!$A$2:$A$3</formula1>
    </dataValidation>
    <dataValidation type="list" allowBlank="1" showErrorMessage="1" errorTitle="Not in the list" error="Choose a value from the list (see the 'Lists' tab)." sqref="D3:D300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316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317</v>
      </c>
      <c r="B3" s="2">
        <v>0.7</v>
      </c>
    </row>
    <row r="4" spans="1:2" x14ac:dyDescent="0.25">
      <c r="A4" t="s">
        <v>318</v>
      </c>
      <c r="B4" s="2">
        <v>0.3</v>
      </c>
    </row>
    <row r="5" spans="1:2" x14ac:dyDescent="0.25">
      <c r="A5" t="s">
        <v>319</v>
      </c>
      <c r="B5" s="2">
        <v>60</v>
      </c>
    </row>
    <row r="6" spans="1:2" x14ac:dyDescent="0.25">
      <c r="A6" t="s">
        <v>320</v>
      </c>
      <c r="B6" s="2">
        <v>0.5</v>
      </c>
    </row>
    <row r="7" spans="1:2" x14ac:dyDescent="0.25">
      <c r="A7" t="s">
        <v>321</v>
      </c>
      <c r="B7" s="2">
        <v>3</v>
      </c>
    </row>
  </sheetData>
  <mergeCells count="1">
    <mergeCell ref="A1:B1"/>
  </mergeCells>
  <dataValidations count="1">
    <dataValidation type="decimal" operator="greaterThanOrEqual" allowBlank="1" showErrorMessage="1" error="Enter a number." sqref="B3:B7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96A1"/>
  </sheetPr>
  <dimension ref="A1:Y29"/>
  <sheetFormatPr defaultRowHeight="15" outlineLevelRow="0" outlineLevelCol="0" x14ac:dyDescent="55"/>
  <cols>
    <col min="1" max="4" width="14" customWidth="1"/>
    <col min="5" max="5" width="22" customWidth="1"/>
    <col min="6" max="6" width="14" customWidth="1"/>
    <col min="7" max="7" width="26" customWidth="1"/>
    <col min="8" max="8" width="15" customWidth="1"/>
    <col min="9" max="9" width="20" customWidth="1"/>
    <col min="10" max="12" width="14" customWidth="1"/>
    <col min="13" max="13" width="15" customWidth="1"/>
    <col min="14" max="14" width="18" customWidth="1"/>
    <col min="15" max="16" width="14" customWidth="1"/>
    <col min="18" max="18" width="26" customWidth="1"/>
    <col min="19" max="19" width="36" customWidth="1"/>
    <col min="21" max="21" width="26" customWidth="1"/>
    <col min="22" max="22" width="36" customWidth="1"/>
    <col min="24" max="24" width="26" customWidth="1"/>
    <col min="25" max="25" width="36" customWidth="1"/>
  </cols>
  <sheetData>
    <row r="1" spans="1:25" s="7" customFormat="1" x14ac:dyDescent="0.25">
      <c r="A1" s="7" t="s">
        <v>322</v>
      </c>
      <c r="B1" s="7" t="s">
        <v>323</v>
      </c>
      <c r="C1" s="7" t="s">
        <v>324</v>
      </c>
      <c r="D1" s="7" t="s">
        <v>325</v>
      </c>
      <c r="E1" s="7" t="s">
        <v>326</v>
      </c>
      <c r="F1" s="7" t="s">
        <v>327</v>
      </c>
      <c r="G1" s="7" t="s">
        <v>328</v>
      </c>
      <c r="H1" s="7" t="s">
        <v>329</v>
      </c>
      <c r="I1" s="7" t="s">
        <v>330</v>
      </c>
      <c r="J1" s="7" t="s">
        <v>331</v>
      </c>
      <c r="K1" s="7" t="s">
        <v>332</v>
      </c>
      <c r="L1" s="7" t="s">
        <v>333</v>
      </c>
      <c r="M1" s="7" t="s">
        <v>334</v>
      </c>
      <c r="N1" s="7" t="s">
        <v>335</v>
      </c>
      <c r="O1" s="7" t="s">
        <v>336</v>
      </c>
      <c r="P1" s="7" t="s">
        <v>337</v>
      </c>
      <c r="R1" s="7" t="s">
        <v>338</v>
      </c>
      <c r="S1" s="7" t="s">
        <v>339</v>
      </c>
      <c r="U1" s="7" t="s">
        <v>340</v>
      </c>
      <c r="V1" s="7" t="s">
        <v>339</v>
      </c>
      <c r="X1" s="7" t="s">
        <v>341</v>
      </c>
      <c r="Y1" s="7" t="s">
        <v>339</v>
      </c>
    </row>
    <row r="2" spans="1:25" x14ac:dyDescent="0.25">
      <c r="A2" t="s">
        <v>113</v>
      </c>
      <c r="B2" t="s">
        <v>342</v>
      </c>
      <c r="C2" t="s">
        <v>32</v>
      </c>
      <c r="D2" t="s">
        <v>37</v>
      </c>
      <c r="E2" t="s">
        <v>53</v>
      </c>
      <c r="F2" t="s">
        <v>56</v>
      </c>
      <c r="G2" t="s">
        <v>111</v>
      </c>
      <c r="H2" t="s">
        <v>184</v>
      </c>
      <c r="I2" t="s">
        <v>250</v>
      </c>
      <c r="J2" t="s">
        <v>251</v>
      </c>
      <c r="K2" t="s">
        <v>159</v>
      </c>
      <c r="L2" t="s">
        <v>165</v>
      </c>
      <c r="M2" t="s">
        <v>158</v>
      </c>
      <c r="N2" t="s">
        <v>290</v>
      </c>
      <c r="O2" t="s">
        <v>282</v>
      </c>
      <c r="P2" t="s">
        <v>214</v>
      </c>
      <c r="R2" t="s">
        <v>111</v>
      </c>
      <c r="S2" t="s">
        <v>343</v>
      </c>
      <c r="U2" t="s">
        <v>184</v>
      </c>
      <c r="V2" t="s">
        <v>344</v>
      </c>
      <c r="X2" t="s">
        <v>250</v>
      </c>
      <c r="Y2" t="s">
        <v>345</v>
      </c>
    </row>
    <row r="3" spans="1:25" x14ac:dyDescent="0.25">
      <c r="A3" t="s">
        <v>133</v>
      </c>
      <c r="B3" t="s">
        <v>21</v>
      </c>
      <c r="C3" t="s">
        <v>346</v>
      </c>
      <c r="D3" t="s">
        <v>347</v>
      </c>
      <c r="E3" t="s">
        <v>72</v>
      </c>
      <c r="F3" t="s">
        <v>70</v>
      </c>
      <c r="G3" t="s">
        <v>134</v>
      </c>
      <c r="H3" t="s">
        <v>188</v>
      </c>
      <c r="I3" t="s">
        <v>348</v>
      </c>
      <c r="J3" t="s">
        <v>255</v>
      </c>
      <c r="K3" t="s">
        <v>171</v>
      </c>
      <c r="L3" t="s">
        <v>160</v>
      </c>
      <c r="M3" t="s">
        <v>162</v>
      </c>
      <c r="N3" t="s">
        <v>162</v>
      </c>
      <c r="O3" t="s">
        <v>287</v>
      </c>
      <c r="P3" t="s">
        <v>349</v>
      </c>
      <c r="R3" t="s">
        <v>134</v>
      </c>
      <c r="S3" t="s">
        <v>350</v>
      </c>
      <c r="U3" t="s">
        <v>188</v>
      </c>
      <c r="V3" t="s">
        <v>351</v>
      </c>
      <c r="X3" t="s">
        <v>348</v>
      </c>
      <c r="Y3" t="s">
        <v>352</v>
      </c>
    </row>
    <row r="4" spans="2:25" x14ac:dyDescent="0.25">
      <c r="B4" t="s">
        <v>353</v>
      </c>
      <c r="C4" t="s">
        <v>354</v>
      </c>
      <c r="E4" t="s">
        <v>79</v>
      </c>
      <c r="F4" t="s">
        <v>97</v>
      </c>
      <c r="G4" t="s">
        <v>355</v>
      </c>
      <c r="H4" t="s">
        <v>190</v>
      </c>
      <c r="I4" t="s">
        <v>253</v>
      </c>
      <c r="J4" t="s">
        <v>268</v>
      </c>
      <c r="K4" t="s">
        <v>172</v>
      </c>
      <c r="M4" t="s">
        <v>174</v>
      </c>
      <c r="N4" t="s">
        <v>286</v>
      </c>
      <c r="O4" t="s">
        <v>291</v>
      </c>
      <c r="P4" t="s">
        <v>356</v>
      </c>
      <c r="R4" t="s">
        <v>355</v>
      </c>
      <c r="S4" t="s">
        <v>357</v>
      </c>
      <c r="U4" t="s">
        <v>190</v>
      </c>
      <c r="V4" t="s">
        <v>358</v>
      </c>
      <c r="X4" t="s">
        <v>253</v>
      </c>
      <c r="Y4" t="s">
        <v>359</v>
      </c>
    </row>
    <row r="5" spans="3:25" x14ac:dyDescent="0.25">
      <c r="C5" t="s">
        <v>360</v>
      </c>
      <c r="E5" t="s">
        <v>87</v>
      </c>
      <c r="G5" t="s">
        <v>127</v>
      </c>
      <c r="H5" t="s">
        <v>191</v>
      </c>
      <c r="I5" t="s">
        <v>170</v>
      </c>
      <c r="J5" t="s">
        <v>262</v>
      </c>
      <c r="K5" t="s">
        <v>168</v>
      </c>
      <c r="P5" t="s">
        <v>210</v>
      </c>
      <c r="R5" t="s">
        <v>127</v>
      </c>
      <c r="S5" t="s">
        <v>361</v>
      </c>
      <c r="U5" t="s">
        <v>191</v>
      </c>
      <c r="V5" t="s">
        <v>362</v>
      </c>
      <c r="X5" t="s">
        <v>170</v>
      </c>
      <c r="Y5" t="s">
        <v>363</v>
      </c>
    </row>
    <row r="6" spans="5:25" x14ac:dyDescent="0.25">
      <c r="E6" t="s">
        <v>91</v>
      </c>
      <c r="G6" t="s">
        <v>364</v>
      </c>
      <c r="H6" t="s">
        <v>203</v>
      </c>
      <c r="I6" t="s">
        <v>167</v>
      </c>
      <c r="K6" t="s">
        <v>164</v>
      </c>
      <c r="R6" t="s">
        <v>364</v>
      </c>
      <c r="S6" t="s">
        <v>365</v>
      </c>
      <c r="U6" t="s">
        <v>203</v>
      </c>
      <c r="V6" t="s">
        <v>366</v>
      </c>
      <c r="X6" t="s">
        <v>167</v>
      </c>
      <c r="Y6" t="s">
        <v>367</v>
      </c>
    </row>
    <row r="7" spans="5:25" x14ac:dyDescent="0.25">
      <c r="E7" t="s">
        <v>102</v>
      </c>
      <c r="G7" t="s">
        <v>114</v>
      </c>
      <c r="H7" t="s">
        <v>368</v>
      </c>
      <c r="I7" t="s">
        <v>256</v>
      </c>
      <c r="K7" t="s">
        <v>369</v>
      </c>
      <c r="R7" t="s">
        <v>114</v>
      </c>
      <c r="S7" t="s">
        <v>370</v>
      </c>
      <c r="U7" t="s">
        <v>368</v>
      </c>
      <c r="V7" t="s">
        <v>371</v>
      </c>
      <c r="X7" t="s">
        <v>256</v>
      </c>
      <c r="Y7" t="s">
        <v>372</v>
      </c>
    </row>
    <row r="8" spans="5:25" x14ac:dyDescent="0.25">
      <c r="E8" t="s">
        <v>373</v>
      </c>
      <c r="G8" t="s">
        <v>116</v>
      </c>
      <c r="H8" t="s">
        <v>201</v>
      </c>
      <c r="I8" t="s">
        <v>261</v>
      </c>
      <c r="R8" t="s">
        <v>116</v>
      </c>
      <c r="S8" t="s">
        <v>374</v>
      </c>
      <c r="U8" t="s">
        <v>201</v>
      </c>
      <c r="V8" t="s">
        <v>375</v>
      </c>
      <c r="X8" t="s">
        <v>261</v>
      </c>
      <c r="Y8" t="s">
        <v>376</v>
      </c>
    </row>
    <row r="9" spans="7:25" x14ac:dyDescent="0.25">
      <c r="G9" t="s">
        <v>377</v>
      </c>
      <c r="H9" t="s">
        <v>378</v>
      </c>
      <c r="I9" t="s">
        <v>379</v>
      </c>
      <c r="R9" t="s">
        <v>377</v>
      </c>
      <c r="S9" t="s">
        <v>380</v>
      </c>
      <c r="U9" t="s">
        <v>378</v>
      </c>
      <c r="V9" t="s">
        <v>381</v>
      </c>
      <c r="X9" t="s">
        <v>379</v>
      </c>
      <c r="Y9" t="s">
        <v>382</v>
      </c>
    </row>
    <row r="10" spans="7:25" x14ac:dyDescent="0.25">
      <c r="G10" t="s">
        <v>119</v>
      </c>
      <c r="H10" t="s">
        <v>193</v>
      </c>
      <c r="I10" t="s">
        <v>383</v>
      </c>
      <c r="R10" t="s">
        <v>119</v>
      </c>
      <c r="S10" t="s">
        <v>384</v>
      </c>
      <c r="U10" t="s">
        <v>193</v>
      </c>
      <c r="V10" t="s">
        <v>385</v>
      </c>
      <c r="X10" t="s">
        <v>383</v>
      </c>
      <c r="Y10" t="s">
        <v>386</v>
      </c>
    </row>
    <row r="11" spans="7:25" x14ac:dyDescent="0.25">
      <c r="G11" t="s">
        <v>122</v>
      </c>
      <c r="H11" t="s">
        <v>387</v>
      </c>
      <c r="I11" t="s">
        <v>388</v>
      </c>
      <c r="R11" t="s">
        <v>122</v>
      </c>
      <c r="S11" t="s">
        <v>389</v>
      </c>
      <c r="U11" t="s">
        <v>387</v>
      </c>
      <c r="V11" t="s">
        <v>390</v>
      </c>
      <c r="X11" t="s">
        <v>388</v>
      </c>
      <c r="Y11" t="s">
        <v>391</v>
      </c>
    </row>
    <row r="12" spans="7:25" x14ac:dyDescent="0.25">
      <c r="G12" t="s">
        <v>125</v>
      </c>
      <c r="H12" t="s">
        <v>392</v>
      </c>
      <c r="I12" t="s">
        <v>393</v>
      </c>
      <c r="R12" t="s">
        <v>125</v>
      </c>
      <c r="S12" t="s">
        <v>394</v>
      </c>
      <c r="U12" t="s">
        <v>392</v>
      </c>
      <c r="V12" t="s">
        <v>395</v>
      </c>
      <c r="X12" t="s">
        <v>393</v>
      </c>
      <c r="Y12" t="s">
        <v>396</v>
      </c>
    </row>
    <row r="13" spans="7:25" x14ac:dyDescent="0.25">
      <c r="G13" t="s">
        <v>397</v>
      </c>
      <c r="H13" t="s">
        <v>398</v>
      </c>
      <c r="I13" t="s">
        <v>399</v>
      </c>
      <c r="R13" t="s">
        <v>397</v>
      </c>
      <c r="S13" t="s">
        <v>400</v>
      </c>
      <c r="U13" t="s">
        <v>398</v>
      </c>
      <c r="V13" t="s">
        <v>401</v>
      </c>
      <c r="X13" t="s">
        <v>399</v>
      </c>
      <c r="Y13" t="s">
        <v>402</v>
      </c>
    </row>
    <row r="14" spans="7:25" x14ac:dyDescent="0.25">
      <c r="G14" t="s">
        <v>403</v>
      </c>
      <c r="H14" t="s">
        <v>404</v>
      </c>
      <c r="I14" t="s">
        <v>405</v>
      </c>
      <c r="R14" t="s">
        <v>403</v>
      </c>
      <c r="S14" t="s">
        <v>406</v>
      </c>
      <c r="U14" t="s">
        <v>404</v>
      </c>
      <c r="V14" t="s">
        <v>407</v>
      </c>
      <c r="X14" t="s">
        <v>405</v>
      </c>
      <c r="Y14" t="s">
        <v>408</v>
      </c>
    </row>
    <row r="15" spans="7:25" x14ac:dyDescent="0.25">
      <c r="G15" t="s">
        <v>131</v>
      </c>
      <c r="H15" t="s">
        <v>195</v>
      </c>
      <c r="I15" t="s">
        <v>267</v>
      </c>
      <c r="R15" t="s">
        <v>131</v>
      </c>
      <c r="S15" t="s">
        <v>409</v>
      </c>
      <c r="U15" t="s">
        <v>195</v>
      </c>
      <c r="V15" t="s">
        <v>410</v>
      </c>
      <c r="X15" t="s">
        <v>267</v>
      </c>
      <c r="Y15" t="s">
        <v>411</v>
      </c>
    </row>
    <row r="16" spans="7:25" x14ac:dyDescent="0.25">
      <c r="G16" t="s">
        <v>412</v>
      </c>
      <c r="H16" t="s">
        <v>413</v>
      </c>
      <c r="I16" t="s">
        <v>264</v>
      </c>
      <c r="R16" t="s">
        <v>412</v>
      </c>
      <c r="S16" t="s">
        <v>414</v>
      </c>
      <c r="U16" t="s">
        <v>413</v>
      </c>
      <c r="V16" t="s">
        <v>415</v>
      </c>
      <c r="X16" t="s">
        <v>264</v>
      </c>
      <c r="Y16" t="s">
        <v>416</v>
      </c>
    </row>
    <row r="17" spans="7:25" x14ac:dyDescent="0.25">
      <c r="G17" t="s">
        <v>417</v>
      </c>
      <c r="H17" t="s">
        <v>198</v>
      </c>
      <c r="I17" t="s">
        <v>418</v>
      </c>
      <c r="R17" t="s">
        <v>417</v>
      </c>
      <c r="S17" t="s">
        <v>419</v>
      </c>
      <c r="U17" t="s">
        <v>198</v>
      </c>
      <c r="V17" t="s">
        <v>420</v>
      </c>
      <c r="X17" t="s">
        <v>418</v>
      </c>
      <c r="Y17" t="s">
        <v>421</v>
      </c>
    </row>
    <row r="18" spans="7:25" x14ac:dyDescent="0.25">
      <c r="G18" t="s">
        <v>129</v>
      </c>
      <c r="H18" t="s">
        <v>422</v>
      </c>
      <c r="I18" t="s">
        <v>423</v>
      </c>
      <c r="R18" t="s">
        <v>129</v>
      </c>
      <c r="S18" t="s">
        <v>424</v>
      </c>
      <c r="U18" t="s">
        <v>422</v>
      </c>
      <c r="V18" t="s">
        <v>425</v>
      </c>
      <c r="X18" t="s">
        <v>423</v>
      </c>
      <c r="Y18" t="s">
        <v>426</v>
      </c>
    </row>
    <row r="19" spans="7:25" x14ac:dyDescent="0.25">
      <c r="G19" t="s">
        <v>136</v>
      </c>
      <c r="H19" t="s">
        <v>427</v>
      </c>
      <c r="I19" t="s">
        <v>428</v>
      </c>
      <c r="R19" t="s">
        <v>136</v>
      </c>
      <c r="S19" t="s">
        <v>429</v>
      </c>
      <c r="U19" t="s">
        <v>427</v>
      </c>
      <c r="V19" t="s">
        <v>430</v>
      </c>
      <c r="X19" t="s">
        <v>428</v>
      </c>
      <c r="Y19" t="s">
        <v>431</v>
      </c>
    </row>
    <row r="20" spans="7:25" x14ac:dyDescent="0.25">
      <c r="G20" t="s">
        <v>432</v>
      </c>
      <c r="H20" t="s">
        <v>433</v>
      </c>
      <c r="I20" t="s">
        <v>434</v>
      </c>
      <c r="R20" t="s">
        <v>432</v>
      </c>
      <c r="S20" t="s">
        <v>435</v>
      </c>
      <c r="U20" t="s">
        <v>433</v>
      </c>
      <c r="V20" t="s">
        <v>436</v>
      </c>
      <c r="X20" t="s">
        <v>434</v>
      </c>
      <c r="Y20" t="s">
        <v>437</v>
      </c>
    </row>
    <row r="21" spans="7:25" x14ac:dyDescent="0.25">
      <c r="G21" t="s">
        <v>438</v>
      </c>
      <c r="I21" t="s">
        <v>163</v>
      </c>
      <c r="R21" t="s">
        <v>438</v>
      </c>
      <c r="S21" t="s">
        <v>439</v>
      </c>
      <c r="X21" t="s">
        <v>163</v>
      </c>
      <c r="Y21" t="s">
        <v>440</v>
      </c>
    </row>
    <row r="22" spans="9:25" x14ac:dyDescent="0.25">
      <c r="I22" t="s">
        <v>441</v>
      </c>
      <c r="X22" t="s">
        <v>441</v>
      </c>
      <c r="Y22" t="s">
        <v>442</v>
      </c>
    </row>
    <row r="23" spans="9:25" x14ac:dyDescent="0.25">
      <c r="I23" t="s">
        <v>257</v>
      </c>
      <c r="X23" t="s">
        <v>257</v>
      </c>
      <c r="Y23" t="s">
        <v>443</v>
      </c>
    </row>
    <row r="24" spans="9:25" x14ac:dyDescent="0.25">
      <c r="I24" t="s">
        <v>258</v>
      </c>
      <c r="X24" t="s">
        <v>258</v>
      </c>
      <c r="Y24" t="s">
        <v>444</v>
      </c>
    </row>
    <row r="25" spans="9:25" x14ac:dyDescent="0.25">
      <c r="I25" t="s">
        <v>259</v>
      </c>
      <c r="X25" t="s">
        <v>259</v>
      </c>
      <c r="Y25" t="s">
        <v>445</v>
      </c>
    </row>
    <row r="26" spans="9:25" x14ac:dyDescent="0.25">
      <c r="I26" t="s">
        <v>446</v>
      </c>
      <c r="X26" t="s">
        <v>446</v>
      </c>
      <c r="Y26" t="s">
        <v>447</v>
      </c>
    </row>
    <row r="27" spans="9:25" x14ac:dyDescent="0.25">
      <c r="I27" t="s">
        <v>448</v>
      </c>
      <c r="X27" t="s">
        <v>448</v>
      </c>
      <c r="Y27" t="s">
        <v>449</v>
      </c>
    </row>
    <row r="28" spans="9:25" x14ac:dyDescent="0.25">
      <c r="I28" t="s">
        <v>450</v>
      </c>
      <c r="X28" t="s">
        <v>450</v>
      </c>
      <c r="Y28" t="s">
        <v>451</v>
      </c>
    </row>
    <row r="29" spans="9:25" x14ac:dyDescent="0.25">
      <c r="I29" t="s">
        <v>266</v>
      </c>
      <c r="X29" t="s">
        <v>266</v>
      </c>
      <c r="Y29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Metadata</vt:lpstr>
      <vt:lpstr>Patient</vt:lpstr>
      <vt:lpstr>History questions</vt:lpstr>
      <vt:lpstr>Examination</vt:lpstr>
      <vt:lpstr>Vitals</vt:lpstr>
      <vt:lpstr>Vital events</vt:lpstr>
      <vt:lpstr>Investigations</vt:lpstr>
      <vt:lpstr>Result values</vt:lpstr>
      <vt:lpstr>Diagnosis</vt:lpstr>
      <vt:lpstr>Management</vt:lpstr>
      <vt:lpstr>Required order</vt:lpstr>
      <vt:lpstr>Questions</vt:lpstr>
      <vt:lpstr>Question options</vt:lpstr>
      <vt:lpstr>Rubric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Clinical Simulation</dc:creator>
  <dc:title/>
  <dc:subject/>
  <dc:description/>
  <cp:keywords/>
  <cp:category/>
  <cp:lastModifiedBy>Unknown</cp:lastModifiedBy>
  <dcterms:created xsi:type="dcterms:W3CDTF">2026-10-11T21:16:17Z</dcterms:created>
  <dcterms:modified xsi:type="dcterms:W3CDTF">2026-10-11T21:16:17Z</dcterms:modified>
</cp:coreProperties>
</file>